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Excel Project\"/>
    </mc:Choice>
  </mc:AlternateContent>
  <xr:revisionPtr revIDLastSave="0" documentId="13_ncr:1_{D85C655F-517D-47B9-9E7D-087C0963DAA8}" xr6:coauthVersionLast="47" xr6:coauthVersionMax="47" xr10:uidLastSave="{00000000-0000-0000-0000-000000000000}"/>
  <bookViews>
    <workbookView xWindow="-120" yWindow="-120" windowWidth="20730" windowHeight="11040" tabRatio="792" xr2:uid="{00000000-000D-0000-FFFF-FFFF00000000}"/>
  </bookViews>
  <sheets>
    <sheet name="Dashboard_final" sheetId="17" r:id="rId1"/>
    <sheet name="Analysis_Report" sheetId="16" r:id="rId2"/>
    <sheet name="Orders_Data" sheetId="1" r:id="rId3"/>
  </sheets>
  <definedNames>
    <definedName name="Slicer_Category">#N/A</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3" i="1"/>
  <c r="F8" i="16"/>
  <c r="A7" i="16"/>
  <c r="A14" i="16"/>
  <c r="F14" i="16"/>
  <c r="B5" i="17"/>
  <c r="F21" i="16"/>
</calcChain>
</file>

<file path=xl/sharedStrings.xml><?xml version="1.0" encoding="utf-8"?>
<sst xmlns="http://schemas.openxmlformats.org/spreadsheetml/2006/main" count="2634" uniqueCount="566">
  <si>
    <t>🛒  SHOPKART — E-Commerce Orders Data (Jan–Dec 2024)</t>
  </si>
  <si>
    <t>Order_ID</t>
  </si>
  <si>
    <t>Customer_ID</t>
  </si>
  <si>
    <t>Customer_Name</t>
  </si>
  <si>
    <t>City</t>
  </si>
  <si>
    <t>Product_Name</t>
  </si>
  <si>
    <t>Category</t>
  </si>
  <si>
    <t>Quantity</t>
  </si>
  <si>
    <t>Unit_Price</t>
  </si>
  <si>
    <t>Discount_%</t>
  </si>
  <si>
    <t>Discount_Amt</t>
  </si>
  <si>
    <t>Total_Amount</t>
  </si>
  <si>
    <t>Order_Date</t>
  </si>
  <si>
    <t>Month</t>
  </si>
  <si>
    <t>Quarter</t>
  </si>
  <si>
    <t>Payment_Method</t>
  </si>
  <si>
    <t>Order_Status</t>
  </si>
  <si>
    <t>Customer_Rating</t>
  </si>
  <si>
    <t>ORD0001</t>
  </si>
  <si>
    <t>C011</t>
  </si>
  <si>
    <t>Suresh Pillai</t>
  </si>
  <si>
    <t>Kolkata</t>
  </si>
  <si>
    <t>Headphones</t>
  </si>
  <si>
    <t>Electronics</t>
  </si>
  <si>
    <t>24-04-2024</t>
  </si>
  <si>
    <t>Q2</t>
  </si>
  <si>
    <t>Debit Card</t>
  </si>
  <si>
    <t>Shipped</t>
  </si>
  <si>
    <t>ORD0002</t>
  </si>
  <si>
    <t>Pen Set</t>
  </si>
  <si>
    <t>Stationery</t>
  </si>
  <si>
    <t>16-01-2024</t>
  </si>
  <si>
    <t>Q1</t>
  </si>
  <si>
    <t>Credit Card</t>
  </si>
  <si>
    <t>Delivered</t>
  </si>
  <si>
    <t>ORD0003</t>
  </si>
  <si>
    <t>C001</t>
  </si>
  <si>
    <t>Rahul Sharma</t>
  </si>
  <si>
    <t>Delhi</t>
  </si>
  <si>
    <t>02-08-2024</t>
  </si>
  <si>
    <t>Q3</t>
  </si>
  <si>
    <t>ORD0004</t>
  </si>
  <si>
    <t>C014</t>
  </si>
  <si>
    <t>Shruti Das</t>
  </si>
  <si>
    <t>Ahmedabad</t>
  </si>
  <si>
    <t>Laptop</t>
  </si>
  <si>
    <t>22-05-2024</t>
  </si>
  <si>
    <t>May</t>
  </si>
  <si>
    <t>ORD0005</t>
  </si>
  <si>
    <t>C002</t>
  </si>
  <si>
    <t>Priya Mehta</t>
  </si>
  <si>
    <t>Mumbai</t>
  </si>
  <si>
    <t>Tablet</t>
  </si>
  <si>
    <t>05-11-2024</t>
  </si>
  <si>
    <t>Q4</t>
  </si>
  <si>
    <t>UPI</t>
  </si>
  <si>
    <t>Pending</t>
  </si>
  <si>
    <t>ORD0006</t>
  </si>
  <si>
    <t>C012</t>
  </si>
  <si>
    <t>Kavita Iyer</t>
  </si>
  <si>
    <t>Chennai</t>
  </si>
  <si>
    <t>Novel Book</t>
  </si>
  <si>
    <t>Books</t>
  </si>
  <si>
    <t>10-02-2024</t>
  </si>
  <si>
    <t>COD</t>
  </si>
  <si>
    <t>ORD0007</t>
  </si>
  <si>
    <t>C015</t>
  </si>
  <si>
    <t>Vijay Tiwari</t>
  </si>
  <si>
    <t>Hyderabad</t>
  </si>
  <si>
    <t>Face Cream</t>
  </si>
  <si>
    <t>Beauty</t>
  </si>
  <si>
    <t>24-01-2024</t>
  </si>
  <si>
    <t>ORD0008</t>
  </si>
  <si>
    <t>Kurta</t>
  </si>
  <si>
    <t>Clothing</t>
  </si>
  <si>
    <t>21-11-2024</t>
  </si>
  <si>
    <t>ORD0009</t>
  </si>
  <si>
    <t>Sneakers</t>
  </si>
  <si>
    <t>Footwear</t>
  </si>
  <si>
    <t>30-09-2024</t>
  </si>
  <si>
    <t>ORD0010</t>
  </si>
  <si>
    <t>27-04-2024</t>
  </si>
  <si>
    <t>ORD0011</t>
  </si>
  <si>
    <t>C007</t>
  </si>
  <si>
    <t>Deepak Joshi</t>
  </si>
  <si>
    <t>Pune</t>
  </si>
  <si>
    <t>10-06-2024</t>
  </si>
  <si>
    <t>ORD0012</t>
  </si>
  <si>
    <t>14-10-2024</t>
  </si>
  <si>
    <t>ORD0013</t>
  </si>
  <si>
    <t>Mixer Grinder</t>
  </si>
  <si>
    <t>Appliances</t>
  </si>
  <si>
    <t>17-09-2024</t>
  </si>
  <si>
    <t>Net Banking</t>
  </si>
  <si>
    <t>ORD0014</t>
  </si>
  <si>
    <t>Smartwatch</t>
  </si>
  <si>
    <t>01-11-2024</t>
  </si>
  <si>
    <t>ORD0015</t>
  </si>
  <si>
    <t>C008</t>
  </si>
  <si>
    <t>Pooja Nair</t>
  </si>
  <si>
    <t>Notebook Set</t>
  </si>
  <si>
    <t>14-12-2024</t>
  </si>
  <si>
    <t>ORD0016</t>
  </si>
  <si>
    <t>C009</t>
  </si>
  <si>
    <t>Karan Patel</t>
  </si>
  <si>
    <t>Jaipur</t>
  </si>
  <si>
    <t>21-03-2024</t>
  </si>
  <si>
    <t>ORD0017</t>
  </si>
  <si>
    <t>24-02-2024</t>
  </si>
  <si>
    <t>ORD0018</t>
  </si>
  <si>
    <t>Air Fryer</t>
  </si>
  <si>
    <t>03-10-2024</t>
  </si>
  <si>
    <t>Cancelled</t>
  </si>
  <si>
    <t>ORD0019</t>
  </si>
  <si>
    <t>C010</t>
  </si>
  <si>
    <t>Meena Rao</t>
  </si>
  <si>
    <t>Bangalore</t>
  </si>
  <si>
    <t>Sandals</t>
  </si>
  <si>
    <t>06-06-2024</t>
  </si>
  <si>
    <t>ORD0020</t>
  </si>
  <si>
    <t>05-03-2024</t>
  </si>
  <si>
    <t>ORD0021</t>
  </si>
  <si>
    <t>T-Shirt</t>
  </si>
  <si>
    <t>04-08-2024</t>
  </si>
  <si>
    <t>ORD0022</t>
  </si>
  <si>
    <t>C013</t>
  </si>
  <si>
    <t>Nitin Malhotra</t>
  </si>
  <si>
    <t>Jeans</t>
  </si>
  <si>
    <t>12-08-2024</t>
  </si>
  <si>
    <t>ORD0023</t>
  </si>
  <si>
    <t>28-10-2024</t>
  </si>
  <si>
    <t>ORD0024</t>
  </si>
  <si>
    <t>06-02-2024</t>
  </si>
  <si>
    <t>ORD0025</t>
  </si>
  <si>
    <t>C004</t>
  </si>
  <si>
    <t>Sneha Gupta</t>
  </si>
  <si>
    <t>22-10-2024</t>
  </si>
  <si>
    <t>ORD0026</t>
  </si>
  <si>
    <t>30-06-2024</t>
  </si>
  <si>
    <t>ORD0027</t>
  </si>
  <si>
    <t>25-02-2024</t>
  </si>
  <si>
    <t>ORD0028</t>
  </si>
  <si>
    <t>C003</t>
  </si>
  <si>
    <t>Amit Verma</t>
  </si>
  <si>
    <t>Perfume</t>
  </si>
  <si>
    <t>08-02-2024</t>
  </si>
  <si>
    <t>ORD0029</t>
  </si>
  <si>
    <t>08-01-2024</t>
  </si>
  <si>
    <t>ORD0030</t>
  </si>
  <si>
    <t>19-04-2024</t>
  </si>
  <si>
    <t>ORD0031</t>
  </si>
  <si>
    <t>Shampoo</t>
  </si>
  <si>
    <t>20-08-2024</t>
  </si>
  <si>
    <t>ORD0032</t>
  </si>
  <si>
    <t>21-04-2024</t>
  </si>
  <si>
    <t>ORD0033</t>
  </si>
  <si>
    <t>Mobile Phone</t>
  </si>
  <si>
    <t>01-09-2024</t>
  </si>
  <si>
    <t>ORD0034</t>
  </si>
  <si>
    <t>05-04-2024</t>
  </si>
  <si>
    <t>ORD0035</t>
  </si>
  <si>
    <t>06-05-2024</t>
  </si>
  <si>
    <t>ORD0036</t>
  </si>
  <si>
    <t>24-09-2024</t>
  </si>
  <si>
    <t>ORD0037</t>
  </si>
  <si>
    <t>09-12-2024</t>
  </si>
  <si>
    <t>ORD0038</t>
  </si>
  <si>
    <t>21-02-2024</t>
  </si>
  <si>
    <t>ORD0039</t>
  </si>
  <si>
    <t>25-05-2024</t>
  </si>
  <si>
    <t>ORD0040</t>
  </si>
  <si>
    <t>C005</t>
  </si>
  <si>
    <t>Ravi Kumar</t>
  </si>
  <si>
    <t>02-06-2024</t>
  </si>
  <si>
    <t>ORD0041</t>
  </si>
  <si>
    <t>20-03-2024</t>
  </si>
  <si>
    <t>ORD0042</t>
  </si>
  <si>
    <t>C006</t>
  </si>
  <si>
    <t>Anita Singh</t>
  </si>
  <si>
    <t>27-01-2024</t>
  </si>
  <si>
    <t>ORD0043</t>
  </si>
  <si>
    <t>22-11-2024</t>
  </si>
  <si>
    <t>ORD0044</t>
  </si>
  <si>
    <t>19-12-2024</t>
  </si>
  <si>
    <t>ORD0045</t>
  </si>
  <si>
    <t>ORD0046</t>
  </si>
  <si>
    <t>07-12-2024</t>
  </si>
  <si>
    <t>ORD0047</t>
  </si>
  <si>
    <t>24-03-2024</t>
  </si>
  <si>
    <t>ORD0048</t>
  </si>
  <si>
    <t>08-12-2024</t>
  </si>
  <si>
    <t>ORD0049</t>
  </si>
  <si>
    <t>12-04-2024</t>
  </si>
  <si>
    <t>ORD0050</t>
  </si>
  <si>
    <t>23-07-2024</t>
  </si>
  <si>
    <t>ORD0051</t>
  </si>
  <si>
    <t>13-12-2024</t>
  </si>
  <si>
    <t>ORD0052</t>
  </si>
  <si>
    <t>20-01-2024</t>
  </si>
  <si>
    <t>ORD0053</t>
  </si>
  <si>
    <t>29-02-2024</t>
  </si>
  <si>
    <t>ORD0054</t>
  </si>
  <si>
    <t>23-09-2024</t>
  </si>
  <si>
    <t>ORD0055</t>
  </si>
  <si>
    <t>15-11-2024</t>
  </si>
  <si>
    <t>ORD0056</t>
  </si>
  <si>
    <t>Formal Shoes</t>
  </si>
  <si>
    <t>16-06-2024</t>
  </si>
  <si>
    <t>ORD0057</t>
  </si>
  <si>
    <t>12-12-2024</t>
  </si>
  <si>
    <t>ORD0058</t>
  </si>
  <si>
    <t>26-05-2024</t>
  </si>
  <si>
    <t>ORD0059</t>
  </si>
  <si>
    <t>18-09-2024</t>
  </si>
  <si>
    <t>ORD0060</t>
  </si>
  <si>
    <t>20-06-2024</t>
  </si>
  <si>
    <t>ORD0061</t>
  </si>
  <si>
    <t>16-03-2024</t>
  </si>
  <si>
    <t>ORD0062</t>
  </si>
  <si>
    <t>09-04-2024</t>
  </si>
  <si>
    <t>ORD0063</t>
  </si>
  <si>
    <t>31-03-2024</t>
  </si>
  <si>
    <t>ORD0064</t>
  </si>
  <si>
    <t>Returned</t>
  </si>
  <si>
    <t>ORD0065</t>
  </si>
  <si>
    <t>06-08-2024</t>
  </si>
  <si>
    <t>ORD0066</t>
  </si>
  <si>
    <t>Textbook</t>
  </si>
  <si>
    <t>ORD0067</t>
  </si>
  <si>
    <t>ORD0068</t>
  </si>
  <si>
    <t>21-12-2024</t>
  </si>
  <si>
    <t>ORD0069</t>
  </si>
  <si>
    <t>31-07-2024</t>
  </si>
  <si>
    <t>ORD0070</t>
  </si>
  <si>
    <t>13-07-2024</t>
  </si>
  <si>
    <t>ORD0071</t>
  </si>
  <si>
    <t>04-11-2024</t>
  </si>
  <si>
    <t>ORD0072</t>
  </si>
  <si>
    <t>25-03-2024</t>
  </si>
  <si>
    <t>ORD0073</t>
  </si>
  <si>
    <t>15-10-2024</t>
  </si>
  <si>
    <t>ORD0074</t>
  </si>
  <si>
    <t>ORD0075</t>
  </si>
  <si>
    <t>09-05-2024</t>
  </si>
  <si>
    <t>ORD0076</t>
  </si>
  <si>
    <t>ORD0077</t>
  </si>
  <si>
    <t>ORD0078</t>
  </si>
  <si>
    <t>ORD0079</t>
  </si>
  <si>
    <t>ORD0080</t>
  </si>
  <si>
    <t>16-12-2024</t>
  </si>
  <si>
    <t>ORD0081</t>
  </si>
  <si>
    <t>04-12-2024</t>
  </si>
  <si>
    <t>ORD0082</t>
  </si>
  <si>
    <t>ORD0083</t>
  </si>
  <si>
    <t>11-11-2024</t>
  </si>
  <si>
    <t>ORD0084</t>
  </si>
  <si>
    <t>14-02-2024</t>
  </si>
  <si>
    <t>ORD0085</t>
  </si>
  <si>
    <t>21-06-2024</t>
  </si>
  <si>
    <t>ORD0086</t>
  </si>
  <si>
    <t>23-05-2024</t>
  </si>
  <si>
    <t>ORD0087</t>
  </si>
  <si>
    <t>13-02-2024</t>
  </si>
  <si>
    <t>ORD0088</t>
  </si>
  <si>
    <t>17-08-2024</t>
  </si>
  <si>
    <t>ORD0089</t>
  </si>
  <si>
    <t>30-08-2024</t>
  </si>
  <si>
    <t>ORD0090</t>
  </si>
  <si>
    <t>18-05-2024</t>
  </si>
  <si>
    <t>ORD0091</t>
  </si>
  <si>
    <t>08-04-2024</t>
  </si>
  <si>
    <t>ORD0092</t>
  </si>
  <si>
    <t>ORD0093</t>
  </si>
  <si>
    <t>10-10-2024</t>
  </si>
  <si>
    <t>ORD0094</t>
  </si>
  <si>
    <t>ORD0095</t>
  </si>
  <si>
    <t>24-07-2024</t>
  </si>
  <si>
    <t>ORD0096</t>
  </si>
  <si>
    <t>ORD0097</t>
  </si>
  <si>
    <t>ORD0098</t>
  </si>
  <si>
    <t>31-01-2024</t>
  </si>
  <si>
    <t>ORD0099</t>
  </si>
  <si>
    <t>ORD0100</t>
  </si>
  <si>
    <t>29-05-2024</t>
  </si>
  <si>
    <t>ORD0101</t>
  </si>
  <si>
    <t>16-11-2024</t>
  </si>
  <si>
    <t>ORD0102</t>
  </si>
  <si>
    <t>27-11-2024</t>
  </si>
  <si>
    <t>ORD0103</t>
  </si>
  <si>
    <t>31-10-2024</t>
  </si>
  <si>
    <t>ORD0104</t>
  </si>
  <si>
    <t>19-05-2024</t>
  </si>
  <si>
    <t>ORD0105</t>
  </si>
  <si>
    <t>08-05-2024</t>
  </si>
  <si>
    <t>ORD0106</t>
  </si>
  <si>
    <t>ORD0107</t>
  </si>
  <si>
    <t>02-04-2024</t>
  </si>
  <si>
    <t>ORD0108</t>
  </si>
  <si>
    <t>ORD0109</t>
  </si>
  <si>
    <t>08-10-2024</t>
  </si>
  <si>
    <t>ORD0110</t>
  </si>
  <si>
    <t>02-12-2024</t>
  </si>
  <si>
    <t>ORD0111</t>
  </si>
  <si>
    <t>ORD0112</t>
  </si>
  <si>
    <t>02-05-2024</t>
  </si>
  <si>
    <t>ORD0113</t>
  </si>
  <si>
    <t>24-08-2024</t>
  </si>
  <si>
    <t>ORD0114</t>
  </si>
  <si>
    <t>ORD0115</t>
  </si>
  <si>
    <t>02-11-2024</t>
  </si>
  <si>
    <t>ORD0116</t>
  </si>
  <si>
    <t>23-06-2024</t>
  </si>
  <si>
    <t>ORD0117</t>
  </si>
  <si>
    <t>17-03-2024</t>
  </si>
  <si>
    <t>ORD0118</t>
  </si>
  <si>
    <t>06-04-2024</t>
  </si>
  <si>
    <t>ORD0119</t>
  </si>
  <si>
    <t>27-12-2024</t>
  </si>
  <si>
    <t>ORD0120</t>
  </si>
  <si>
    <t>14-09-2024</t>
  </si>
  <si>
    <t>ORD0121</t>
  </si>
  <si>
    <t>ORD0122</t>
  </si>
  <si>
    <t>22-06-2024</t>
  </si>
  <si>
    <t>ORD0123</t>
  </si>
  <si>
    <t>ORD0124</t>
  </si>
  <si>
    <t>30-04-2024</t>
  </si>
  <si>
    <t>ORD0125</t>
  </si>
  <si>
    <t>15-08-2024</t>
  </si>
  <si>
    <t>ORD0126</t>
  </si>
  <si>
    <t>30-05-2024</t>
  </si>
  <si>
    <t>ORD0127</t>
  </si>
  <si>
    <t>28-03-2024</t>
  </si>
  <si>
    <t>ORD0128</t>
  </si>
  <si>
    <t>28-04-2024</t>
  </si>
  <si>
    <t>ORD0129</t>
  </si>
  <si>
    <t>27-05-2024</t>
  </si>
  <si>
    <t>ORD0130</t>
  </si>
  <si>
    <t>ORD0131</t>
  </si>
  <si>
    <t>02-07-2024</t>
  </si>
  <si>
    <t>ORD0132</t>
  </si>
  <si>
    <t>06-11-2024</t>
  </si>
  <si>
    <t>ORD0133</t>
  </si>
  <si>
    <t>22-04-2024</t>
  </si>
  <si>
    <t>ORD0134</t>
  </si>
  <si>
    <t>07-06-2024</t>
  </si>
  <si>
    <t>ORD0135</t>
  </si>
  <si>
    <t>30-03-2024</t>
  </si>
  <si>
    <t>ORD0136</t>
  </si>
  <si>
    <t>11-05-2024</t>
  </si>
  <si>
    <t>ORD0137</t>
  </si>
  <si>
    <t>13-03-2024</t>
  </si>
  <si>
    <t>ORD0138</t>
  </si>
  <si>
    <t>ORD0139</t>
  </si>
  <si>
    <t>ORD0140</t>
  </si>
  <si>
    <t>ORD0141</t>
  </si>
  <si>
    <t>04-06-2024</t>
  </si>
  <si>
    <t>ORD0142</t>
  </si>
  <si>
    <t>ORD0143</t>
  </si>
  <si>
    <t>27-07-2024</t>
  </si>
  <si>
    <t>ORD0144</t>
  </si>
  <si>
    <t>17-12-2024</t>
  </si>
  <si>
    <t>ORD0145</t>
  </si>
  <si>
    <t>ORD0146</t>
  </si>
  <si>
    <t>04-05-2024</t>
  </si>
  <si>
    <t>ORD0147</t>
  </si>
  <si>
    <t>29-04-2024</t>
  </si>
  <si>
    <t>ORD0148</t>
  </si>
  <si>
    <t>07-03-2024</t>
  </si>
  <si>
    <t>ORD0149</t>
  </si>
  <si>
    <t>ORD0150</t>
  </si>
  <si>
    <t>31-08-2024</t>
  </si>
  <si>
    <t>ORD0151</t>
  </si>
  <si>
    <t>10-11-2024</t>
  </si>
  <si>
    <t>ORD0152</t>
  </si>
  <si>
    <t>01-02-2024</t>
  </si>
  <si>
    <t>ORD0153</t>
  </si>
  <si>
    <t>07-02-2024</t>
  </si>
  <si>
    <t>ORD0154</t>
  </si>
  <si>
    <t>30-12-2024</t>
  </si>
  <si>
    <t>ORD0155</t>
  </si>
  <si>
    <t>25-12-2024</t>
  </si>
  <si>
    <t>ORD0156</t>
  </si>
  <si>
    <t>30-07-2024</t>
  </si>
  <si>
    <t>ORD0157</t>
  </si>
  <si>
    <t>06-12-2024</t>
  </si>
  <si>
    <t>ORD0158</t>
  </si>
  <si>
    <t>17-02-2024</t>
  </si>
  <si>
    <t>ORD0159</t>
  </si>
  <si>
    <t>ORD0160</t>
  </si>
  <si>
    <t>ORD0161</t>
  </si>
  <si>
    <t>ORD0162</t>
  </si>
  <si>
    <t>ORD0163</t>
  </si>
  <si>
    <t>15-01-2024</t>
  </si>
  <si>
    <t>ORD0164</t>
  </si>
  <si>
    <t>16-10-2024</t>
  </si>
  <si>
    <t>ORD0165</t>
  </si>
  <si>
    <t>ORD0166</t>
  </si>
  <si>
    <t>ORD0167</t>
  </si>
  <si>
    <t>05-09-2024</t>
  </si>
  <si>
    <t>ORD0168</t>
  </si>
  <si>
    <t>ORD0169</t>
  </si>
  <si>
    <t>04-01-2024</t>
  </si>
  <si>
    <t>ORD0170</t>
  </si>
  <si>
    <t>11-09-2024</t>
  </si>
  <si>
    <t>ORD0171</t>
  </si>
  <si>
    <t>ORD0172</t>
  </si>
  <si>
    <t>09-06-2024</t>
  </si>
  <si>
    <t>ORD0173</t>
  </si>
  <si>
    <t>15-06-2024</t>
  </si>
  <si>
    <t>ORD0174</t>
  </si>
  <si>
    <t>ORD0175</t>
  </si>
  <si>
    <t>23-04-2024</t>
  </si>
  <si>
    <t>ORD0176</t>
  </si>
  <si>
    <t>27-06-2024</t>
  </si>
  <si>
    <t>ORD0177</t>
  </si>
  <si>
    <t>11-04-2024</t>
  </si>
  <si>
    <t>ORD0178</t>
  </si>
  <si>
    <t>25-08-2024</t>
  </si>
  <si>
    <t>ORD0179</t>
  </si>
  <si>
    <t>18-03-2024</t>
  </si>
  <si>
    <t>ORD0180</t>
  </si>
  <si>
    <t>ORD0181</t>
  </si>
  <si>
    <t>ORD0182</t>
  </si>
  <si>
    <t>29-11-2024</t>
  </si>
  <si>
    <t>ORD0183</t>
  </si>
  <si>
    <t>ORD0184</t>
  </si>
  <si>
    <t>ORD0185</t>
  </si>
  <si>
    <t>ORD0186</t>
  </si>
  <si>
    <t>ORD0187</t>
  </si>
  <si>
    <t>ORD0188</t>
  </si>
  <si>
    <t>06-03-2024</t>
  </si>
  <si>
    <t>ORD0189</t>
  </si>
  <si>
    <t>ORD0190</t>
  </si>
  <si>
    <t>09-02-2024</t>
  </si>
  <si>
    <t>ORD0191</t>
  </si>
  <si>
    <t>ORD0192</t>
  </si>
  <si>
    <t>ORD0193</t>
  </si>
  <si>
    <t>ORD0194</t>
  </si>
  <si>
    <t>ORD0195</t>
  </si>
  <si>
    <t>ORD0196</t>
  </si>
  <si>
    <t>24-11-2024</t>
  </si>
  <si>
    <t>ORD0197</t>
  </si>
  <si>
    <t>12-02-2024</t>
  </si>
  <si>
    <t>ORD0198</t>
  </si>
  <si>
    <t>18-08-2024</t>
  </si>
  <si>
    <t>ORD0199</t>
  </si>
  <si>
    <t>16-07-2024</t>
  </si>
  <si>
    <t>ORD0200</t>
  </si>
  <si>
    <t>ORD0201</t>
  </si>
  <si>
    <t>ORD0202</t>
  </si>
  <si>
    <t>01-05-2024</t>
  </si>
  <si>
    <t>ORD0203</t>
  </si>
  <si>
    <t>ORD0204</t>
  </si>
  <si>
    <t>29-06-2024</t>
  </si>
  <si>
    <t>ORD0205</t>
  </si>
  <si>
    <t>26-09-2024</t>
  </si>
  <si>
    <t>ORD0206</t>
  </si>
  <si>
    <t>ORD0207</t>
  </si>
  <si>
    <t>03-05-2024</t>
  </si>
  <si>
    <t>ORD0208</t>
  </si>
  <si>
    <t>ORD0209</t>
  </si>
  <si>
    <t>02-02-2024</t>
  </si>
  <si>
    <t>ORD0210</t>
  </si>
  <si>
    <t>20-09-2024</t>
  </si>
  <si>
    <t>ORD0211</t>
  </si>
  <si>
    <t>ORD0212</t>
  </si>
  <si>
    <t>11-08-2024</t>
  </si>
  <si>
    <t>ORD0213</t>
  </si>
  <si>
    <t>20-12-2024</t>
  </si>
  <si>
    <t>ORD0214</t>
  </si>
  <si>
    <t>ORD0215</t>
  </si>
  <si>
    <t>26-03-2024</t>
  </si>
  <si>
    <t>ORD0216</t>
  </si>
  <si>
    <t>23-11-2024</t>
  </si>
  <si>
    <t>ORD0217</t>
  </si>
  <si>
    <t>07-11-2024</t>
  </si>
  <si>
    <t>ORD0218</t>
  </si>
  <si>
    <t>17-01-2024</t>
  </si>
  <si>
    <t>ORD0219</t>
  </si>
  <si>
    <t>11-03-2024</t>
  </si>
  <si>
    <t>ORD0220</t>
  </si>
  <si>
    <t>12-09-2024</t>
  </si>
  <si>
    <t>ORD0221</t>
  </si>
  <si>
    <t>ORD0222</t>
  </si>
  <si>
    <t>ORD0223</t>
  </si>
  <si>
    <t>ORD0224</t>
  </si>
  <si>
    <t>ORD0225</t>
  </si>
  <si>
    <t>03-02-2024</t>
  </si>
  <si>
    <t>ORD0226</t>
  </si>
  <si>
    <t>ORD0227</t>
  </si>
  <si>
    <t>25-06-2024</t>
  </si>
  <si>
    <t>ORD0228</t>
  </si>
  <si>
    <t>09-08-2024</t>
  </si>
  <si>
    <t>ORD0229</t>
  </si>
  <si>
    <t>23-03-2024</t>
  </si>
  <si>
    <t>ORD0230</t>
  </si>
  <si>
    <t>ORD0231</t>
  </si>
  <si>
    <t>ORD0232</t>
  </si>
  <si>
    <t>ORD0233</t>
  </si>
  <si>
    <t>19-10-2024</t>
  </si>
  <si>
    <t>ORD0234</t>
  </si>
  <si>
    <t>04-09-2024</t>
  </si>
  <si>
    <t>ORD0235</t>
  </si>
  <si>
    <t>ORD0236</t>
  </si>
  <si>
    <t>ORD0237</t>
  </si>
  <si>
    <t>16-05-2024</t>
  </si>
  <si>
    <t>ORD0238</t>
  </si>
  <si>
    <t>ORD0239</t>
  </si>
  <si>
    <t>ORD0240</t>
  </si>
  <si>
    <t>25-10-2024</t>
  </si>
  <si>
    <t>ORD0241</t>
  </si>
  <si>
    <t>08-08-2024</t>
  </si>
  <si>
    <t>ORD0242</t>
  </si>
  <si>
    <t>ORD0243</t>
  </si>
  <si>
    <t>ORD0244</t>
  </si>
  <si>
    <t>20-07-2024</t>
  </si>
  <si>
    <t>ORD0245</t>
  </si>
  <si>
    <t>ORD0246</t>
  </si>
  <si>
    <t>21-08-2024</t>
  </si>
  <si>
    <t>ORD0247</t>
  </si>
  <si>
    <t>ORD0248</t>
  </si>
  <si>
    <t>29-09-2024</t>
  </si>
  <si>
    <t>ORD0249</t>
  </si>
  <si>
    <t>01-08-2024</t>
  </si>
  <si>
    <t>ORD0250</t>
  </si>
  <si>
    <t>Total Orders</t>
  </si>
  <si>
    <t>Total Revenue</t>
  </si>
  <si>
    <t>Total Discount Given</t>
  </si>
  <si>
    <t>Average Order Value</t>
  </si>
  <si>
    <t>Average Rating (Delivered)</t>
  </si>
  <si>
    <t>Category-wise Total Revenue</t>
  </si>
  <si>
    <t>Month-wise Order Count</t>
  </si>
  <si>
    <t>City-wise Revenue + Orders</t>
  </si>
  <si>
    <t>Payment Method Distribution</t>
  </si>
  <si>
    <t>Category + Quarter Revenue Matrix</t>
  </si>
  <si>
    <t>Order Status Breakdown</t>
  </si>
  <si>
    <t>Top Customer by Revenue</t>
  </si>
  <si>
    <t>Average Rating by Category</t>
  </si>
  <si>
    <t>Sum of Total_Amount</t>
  </si>
  <si>
    <t>Count of Order_ID</t>
  </si>
  <si>
    <t>KPI'S ANALYSIS</t>
  </si>
  <si>
    <t>Sum of Discount_Amt</t>
  </si>
  <si>
    <t>Average of Total_Amount</t>
  </si>
  <si>
    <t>Average of Customer_Rating</t>
  </si>
  <si>
    <t>Pivot Chart</t>
  </si>
  <si>
    <t>Chart Banane ka Order — Follow karo:</t>
  </si>
  <si>
    <r>
      <t>Step 1:</t>
    </r>
    <r>
      <rPr>
        <sz val="11"/>
        <color theme="1"/>
        <rFont val="Calibri"/>
        <family val="2"/>
        <scheme val="minor"/>
      </rPr>
      <t xml:space="preserve"> Category Revenue → Pie Chart</t>
    </r>
  </si>
  <si>
    <r>
      <t>Step 2:</t>
    </r>
    <r>
      <rPr>
        <sz val="11"/>
        <color theme="1"/>
        <rFont val="Calibri"/>
        <family val="2"/>
        <scheme val="minor"/>
      </rPr>
      <t xml:space="preserve"> Month Orders → Bar/Column Chart</t>
    </r>
  </si>
  <si>
    <r>
      <t>Step 3:</t>
    </r>
    <r>
      <rPr>
        <sz val="11"/>
        <color theme="1"/>
        <rFont val="Calibri"/>
        <family val="2"/>
        <scheme val="minor"/>
      </rPr>
      <t xml:space="preserve"> City Revenue → Bar Chart</t>
    </r>
  </si>
  <si>
    <r>
      <t>Step 4:</t>
    </r>
    <r>
      <rPr>
        <sz val="11"/>
        <color theme="1"/>
        <rFont val="Calibri"/>
        <family val="2"/>
        <scheme val="minor"/>
      </rPr>
      <t xml:space="preserve"> Payment Method → Pie Chart</t>
    </r>
  </si>
  <si>
    <r>
      <t>Step 5:</t>
    </r>
    <r>
      <rPr>
        <sz val="11"/>
        <color theme="1"/>
        <rFont val="Calibri"/>
        <family val="2"/>
        <scheme val="minor"/>
      </rPr>
      <t xml:space="preserve"> Quarter × Category → Clustered Column Chart</t>
    </r>
  </si>
  <si>
    <r>
      <t>Step 6:</t>
    </r>
    <r>
      <rPr>
        <sz val="11"/>
        <color theme="1"/>
        <rFont val="Calibri"/>
        <family val="2"/>
        <scheme val="minor"/>
      </rPr>
      <t xml:space="preserve"> Order Status → Pie Chart</t>
    </r>
  </si>
  <si>
    <r>
      <t>Step 7:</t>
    </r>
    <r>
      <rPr>
        <sz val="11"/>
        <color theme="1"/>
        <rFont val="Calibri"/>
        <family val="2"/>
        <scheme val="minor"/>
      </rPr>
      <t xml:space="preserve"> Top 5 Customers → Bar Chart</t>
    </r>
  </si>
  <si>
    <r>
      <t>Step 8:</t>
    </r>
    <r>
      <rPr>
        <sz val="11"/>
        <color theme="1"/>
        <rFont val="Calibri"/>
        <family val="2"/>
        <scheme val="minor"/>
      </rPr>
      <t xml:space="preserve"> Avg Rating → Horizontal Bar Chart</t>
    </r>
  </si>
  <si>
    <t>Mmm</t>
  </si>
  <si>
    <t>Apr</t>
  </si>
  <si>
    <t>Jan</t>
  </si>
  <si>
    <t>Aug</t>
  </si>
  <si>
    <t>Nov</t>
  </si>
  <si>
    <t>Feb</t>
  </si>
  <si>
    <t>Sep</t>
  </si>
  <si>
    <t>Jun</t>
  </si>
  <si>
    <t>Oct</t>
  </si>
  <si>
    <t>Dec</t>
  </si>
  <si>
    <t>Mar</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</si>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</sst>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K&quot;"/>
    <numFmt numFmtId="165" formatCode="0.0,,&quot;M&quot;"/>
    <numFmt numFmtId="166" formatCode="0.00,&quot; L&quot;"/>
  </numFmts>
  <fonts count="13" x14ac:knownFonts="1">
    <font>
      <sz val="11"/>
      <color theme="1"/>
      <name val="Calibri"/>
      <family val="2"/>
      <scheme val="minor"/>
    </font>
    <font>
      <b/>
      <sz val="13"/>
      <color rgb="FFFFFFFF"/>
      <name val="Arial"/>
    </font>
    <font>
      <b/>
      <sz val="10"/>
      <color rgb="FFFFFFFF"/>
      <name val="Arial"/>
    </font>
    <font>
      <sz val="9"/>
      <name val="Arial"/>
    </font>
    <font>
      <b/>
      <sz val="10"/>
      <name val="Arial"/>
    </font>
    <font>
      <b/>
      <sz val="10"/>
      <color rgb="FF1F4E79"/>
      <name val="Arial"/>
    </font>
    <font>
      <sz val="11"/>
      <color rgb="FFFF0000"/>
      <name val="Calibri"/>
      <family val="2"/>
      <scheme val="minor"/>
    </font>
    <font>
      <b/>
      <sz val="11"/>
      <color theme="1"/>
      <name val="Calibri"/>
      <family val="2"/>
      <scheme val="minor"/>
    </font>
    <font>
      <b/>
      <sz val="14"/>
      <color rgb="FFFF0000"/>
      <name val="Calibri"/>
      <family val="2"/>
      <scheme val="minor"/>
    </font>
    <font>
      <sz val="9"/>
      <name val="Arial"/>
      <family val="2"/>
    </font>
    <font>
      <b/>
      <sz val="26"/>
      <color rgb="FFFF0000"/>
      <name val="Calibri"/>
      <family val="2"/>
      <scheme val="minor"/>
    </font>
    <font>
      <b/>
      <sz val="10"/>
      <color theme="0"/>
      <name val="Arial"/>
      <family val="2"/>
    </font>
    <font>
      <b/>
      <sz val="13.5"/>
      <color theme="1"/>
      <name val="Calibri"/>
      <family val="2"/>
      <scheme val="minor"/>
    </font>
  </fonts>
  <fills count="10">
    <fill>
      <patternFill patternType="none"/>
    </fill>
    <fill>
      <patternFill patternType="gray125"/>
    </fill>
    <fill>
      <patternFill patternType="solid">
        <fgColor rgb="FF1F4E79"/>
      </patternFill>
    </fill>
    <fill>
      <patternFill patternType="solid">
        <fgColor rgb="FF2E75B6"/>
      </patternFill>
    </fill>
    <fill>
      <patternFill patternType="solid">
        <fgColor rgb="FFEBF3FB"/>
      </patternFill>
    </fill>
    <fill>
      <patternFill patternType="solid">
        <fgColor rgb="FFF4F6F7"/>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3" tint="0.59999389629810485"/>
        <bgColor indexed="64"/>
      </patternFill>
    </fill>
    <fill>
      <patternFill patternType="solid">
        <fgColor theme="3" tint="-0.249977111117893"/>
        <bgColor indexed="64"/>
      </patternFill>
    </fill>
  </fills>
  <borders count="5">
    <border>
      <left/>
      <right/>
      <top/>
      <bottom/>
      <diagonal/>
    </border>
    <border>
      <left style="thin">
        <color rgb="FFBBBBBB"/>
      </left>
      <right style="thin">
        <color rgb="FFBBBBBB"/>
      </right>
      <top style="thin">
        <color rgb="FFBBBBBB"/>
      </top>
      <bottom style="thin">
        <color rgb="FFBBBBBB"/>
      </bottom>
      <diagonal/>
    </border>
    <border>
      <left style="thin">
        <color indexed="64"/>
      </left>
      <right style="thin">
        <color indexed="64"/>
      </right>
      <top style="thin">
        <color indexed="64"/>
      </top>
      <bottom style="thin">
        <color indexed="64"/>
      </bottom>
      <diagonal/>
    </border>
    <border>
      <left style="thin">
        <color rgb="FFBBBBBB"/>
      </left>
      <right style="thin">
        <color rgb="FFBBBBBB"/>
      </right>
      <top/>
      <bottom/>
      <diagonal/>
    </border>
    <border>
      <left style="thin">
        <color rgb="FFBBBBBB"/>
      </left>
      <right/>
      <top/>
      <bottom/>
      <diagonal/>
    </border>
  </borders>
  <cellStyleXfs count="1">
    <xf numFmtId="0" fontId="0" fillId="0" borderId="0"/>
  </cellStyleXfs>
  <cellXfs count="27">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xf numFmtId="0" fontId="4" fillId="0" borderId="1" xfId="0" applyFont="1" applyBorder="1"/>
    <xf numFmtId="0" fontId="5" fillId="5" borderId="1" xfId="0" applyFont="1" applyFill="1" applyBorder="1"/>
    <xf numFmtId="0" fontId="5" fillId="0" borderId="1" xfId="0" applyFont="1" applyBorder="1"/>
    <xf numFmtId="0" fontId="0" fillId="0" borderId="2" xfId="0" applyBorder="1"/>
    <xf numFmtId="0" fontId="7" fillId="6" borderId="2" xfId="0" applyFont="1" applyFill="1" applyBorder="1"/>
    <xf numFmtId="0" fontId="0" fillId="8" borderId="0" xfId="0" applyFill="1"/>
    <xf numFmtId="2" fontId="0" fillId="0" borderId="2" xfId="0" applyNumberFormat="1" applyBorder="1"/>
    <xf numFmtId="164" fontId="0" fillId="0" borderId="2" xfId="0" applyNumberFormat="1" applyBorder="1"/>
    <xf numFmtId="0" fontId="9" fillId="4" borderId="3" xfId="0" applyFont="1" applyFill="1" applyBorder="1" applyAlignment="1">
      <alignment horizontal="center" vertical="center"/>
    </xf>
    <xf numFmtId="0" fontId="0" fillId="0" borderId="2" xfId="0" pivotButton="1" applyBorder="1"/>
    <xf numFmtId="165" fontId="0" fillId="0" borderId="2" xfId="0" applyNumberFormat="1" applyBorder="1"/>
    <xf numFmtId="166" fontId="0" fillId="0" borderId="2" xfId="0" applyNumberFormat="1" applyBorder="1"/>
    <xf numFmtId="0" fontId="12" fillId="0" borderId="0" xfId="0" applyFont="1" applyAlignment="1">
      <alignment vertical="center"/>
    </xf>
    <xf numFmtId="0" fontId="7" fillId="0" borderId="0" xfId="0" applyFont="1"/>
    <xf numFmtId="0" fontId="8" fillId="7" borderId="0" xfId="0" applyFont="1" applyFill="1" applyAlignment="1">
      <alignment horizontal="center" vertical="center"/>
    </xf>
    <xf numFmtId="0" fontId="6" fillId="7" borderId="0" xfId="0" applyFont="1" applyFill="1" applyAlignment="1">
      <alignment horizontal="center" vertical="center"/>
    </xf>
    <xf numFmtId="0" fontId="10" fillId="7" borderId="0" xfId="0" applyFont="1" applyFill="1" applyAlignment="1">
      <alignment horizontal="center"/>
    </xf>
    <xf numFmtId="0" fontId="11" fillId="9" borderId="4" xfId="0" applyFont="1" applyFill="1" applyBorder="1" applyAlignment="1">
      <alignment horizontal="center"/>
    </xf>
    <xf numFmtId="0" fontId="11" fillId="9" borderId="0" xfId="0" applyFont="1" applyFill="1" applyAlignment="1">
      <alignment horizontal="center"/>
    </xf>
    <xf numFmtId="0" fontId="1" fillId="2" borderId="0" xfId="0" applyFont="1" applyFill="1" applyAlignment="1">
      <alignment horizontal="center" vertical="center" wrapText="1"/>
    </xf>
    <xf numFmtId="0" fontId="0" fillId="0" borderId="0" xfId="0"/>
    <xf numFmtId="0" fontId="0" fillId="0" borderId="2" xfId="0" applyNumberFormat="1" applyBorder="1"/>
  </cellXfs>
  <cellStyles count="1">
    <cellStyle name="Normal" xfId="0" builtinId="0"/>
  </cellStyles>
  <dxfs count="4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colors>
    <mruColors>
      <color rgb="FF525252"/>
      <color rgb="FF000000"/>
      <color rgb="FF1B1B1B"/>
      <color rgb="FFF9B277"/>
      <color rgb="FFEC700A"/>
      <color rgb="FF452103"/>
      <color rgb="FF6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[ShopKart_Ecommerce.xlsx]Analysis_Report!PivotTable4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9.6473429951690823E-2"/>
          <c:y val="0"/>
          <c:w val="0.56763285024154586"/>
          <c:h val="0.8422939068100358"/>
        </c:manualLayout>
      </c:layout>
      <c:pieChart>
        <c:varyColors val="1"/>
        <c:ser>
          <c:idx val="0"/>
          <c:order val="0"/>
          <c:tx>
            <c:strRef>
              <c:f>Analysis_Report!$B$29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348-48FC-AE98-E10818E15A2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348-48FC-AE98-E10818E15A2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348-48FC-AE98-E10818E15A2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348-48FC-AE98-E10818E15A2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348-48FC-AE98-E10818E15A2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348-48FC-AE98-E10818E15A2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348-48FC-AE98-E10818E15A22}"/>
              </c:ext>
            </c:extLst>
          </c:dPt>
          <c:cat>
            <c:strRef>
              <c:f>Analysis_Report!$A$30:$A$34</c:f>
              <c:strCache>
                <c:ptCount val="5"/>
                <c:pt idx="0">
                  <c:v>COD</c:v>
                </c:pt>
                <c:pt idx="1">
                  <c:v>Credit Card</c:v>
                </c:pt>
                <c:pt idx="2">
                  <c:v>Debit Card</c:v>
                </c:pt>
                <c:pt idx="3">
                  <c:v>Net Banking</c:v>
                </c:pt>
                <c:pt idx="4">
                  <c:v>UPI</c:v>
                </c:pt>
              </c:strCache>
            </c:strRef>
          </c:cat>
          <c:val>
            <c:numRef>
              <c:f>Analysis_Report!$B$30:$B$34</c:f>
              <c:numCache>
                <c:formatCode>General</c:formatCode>
                <c:ptCount val="5"/>
                <c:pt idx="0">
                  <c:v>58</c:v>
                </c:pt>
                <c:pt idx="1">
                  <c:v>34</c:v>
                </c:pt>
                <c:pt idx="2">
                  <c:v>56</c:v>
                </c:pt>
                <c:pt idx="3">
                  <c:v>50</c:v>
                </c:pt>
                <c:pt idx="4">
                  <c:v>52</c:v>
                </c:pt>
              </c:numCache>
            </c:numRef>
          </c:val>
          <c:extLst>
            <c:ext xmlns:c16="http://schemas.microsoft.com/office/drawing/2014/chart" uri="{C3380CC4-5D6E-409C-BE32-E72D297353CC}">
              <c16:uniqueId val="{0000000E-F348-48FC-AE98-E10818E15A2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385838714473819"/>
          <c:y val="0.15630774046114965"/>
          <c:w val="0.23614173228346458"/>
          <c:h val="0.75356280464941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[ShopKart_Ecommerce.xlsx]Analysis_Report!PivotTable10</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05361829771291E-2"/>
          <c:y val="9.1168091168091173E-2"/>
          <c:w val="0.8582811191154297"/>
          <c:h val="0.6607761850281535"/>
        </c:manualLayout>
      </c:layout>
      <c:barChart>
        <c:barDir val="col"/>
        <c:grouping val="clustered"/>
        <c:varyColors val="0"/>
        <c:ser>
          <c:idx val="0"/>
          <c:order val="0"/>
          <c:tx>
            <c:strRef>
              <c:f>Analysis_Report!$B$42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Analysis_Report!$A$43:$A$54</c:f>
              <c:strCache>
                <c:ptCount val="12"/>
                <c:pt idx="0">
                  <c:v>May</c:v>
                </c:pt>
                <c:pt idx="1">
                  <c:v>Apr</c:v>
                </c:pt>
                <c:pt idx="2">
                  <c:v>Jan</c:v>
                </c:pt>
                <c:pt idx="3">
                  <c:v>Aug</c:v>
                </c:pt>
                <c:pt idx="4">
                  <c:v>Nov</c:v>
                </c:pt>
                <c:pt idx="5">
                  <c:v>Feb</c:v>
                </c:pt>
                <c:pt idx="6">
                  <c:v>Sep</c:v>
                </c:pt>
                <c:pt idx="7">
                  <c:v>Jun</c:v>
                </c:pt>
                <c:pt idx="8">
                  <c:v>Oct</c:v>
                </c:pt>
                <c:pt idx="9">
                  <c:v>Dec</c:v>
                </c:pt>
                <c:pt idx="10">
                  <c:v>Mar</c:v>
                </c:pt>
                <c:pt idx="11">
                  <c:v>Jul</c:v>
                </c:pt>
              </c:strCache>
            </c:strRef>
          </c:cat>
          <c:val>
            <c:numRef>
              <c:f>Analysis_Report!$B$43:$B$54</c:f>
              <c:numCache>
                <c:formatCode>General</c:formatCode>
                <c:ptCount val="12"/>
                <c:pt idx="0">
                  <c:v>27</c:v>
                </c:pt>
                <c:pt idx="1">
                  <c:v>21</c:v>
                </c:pt>
                <c:pt idx="2">
                  <c:v>17</c:v>
                </c:pt>
                <c:pt idx="3">
                  <c:v>22</c:v>
                </c:pt>
                <c:pt idx="4">
                  <c:v>23</c:v>
                </c:pt>
                <c:pt idx="5">
                  <c:v>26</c:v>
                </c:pt>
                <c:pt idx="6">
                  <c:v>18</c:v>
                </c:pt>
                <c:pt idx="7">
                  <c:v>22</c:v>
                </c:pt>
                <c:pt idx="8">
                  <c:v>17</c:v>
                </c:pt>
                <c:pt idx="9">
                  <c:v>20</c:v>
                </c:pt>
                <c:pt idx="10">
                  <c:v>25</c:v>
                </c:pt>
                <c:pt idx="11">
                  <c:v>12</c:v>
                </c:pt>
              </c:numCache>
            </c:numRef>
          </c:val>
          <c:extLst>
            <c:ext xmlns:c16="http://schemas.microsoft.com/office/drawing/2014/chart" uri="{C3380CC4-5D6E-409C-BE32-E72D297353CC}">
              <c16:uniqueId val="{00000000-825C-46B6-9320-D0E858CEB7B9}"/>
            </c:ext>
          </c:extLst>
        </c:ser>
        <c:dLbls>
          <c:dLblPos val="inEnd"/>
          <c:showLegendKey val="0"/>
          <c:showVal val="1"/>
          <c:showCatName val="0"/>
          <c:showSerName val="0"/>
          <c:showPercent val="0"/>
          <c:showBubbleSize val="0"/>
        </c:dLbls>
        <c:gapWidth val="41"/>
        <c:axId val="1414482736"/>
        <c:axId val="1469361232"/>
      </c:barChart>
      <c:catAx>
        <c:axId val="1414482736"/>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69361232"/>
        <c:crosses val="autoZero"/>
        <c:auto val="1"/>
        <c:lblAlgn val="ctr"/>
        <c:lblOffset val="100"/>
        <c:noMultiLvlLbl val="0"/>
      </c:catAx>
      <c:valAx>
        <c:axId val="1469361232"/>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41448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[ShopKart_Ecommerce.xlsx]Analysis_Report!PivotTable11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Analysis_Report!$B$59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Analysis_Report!$A$60:$A$66</c:f>
              <c:strCache>
                <c:ptCount val="7"/>
                <c:pt idx="0">
                  <c:v>Appliances</c:v>
                </c:pt>
                <c:pt idx="1">
                  <c:v>Beauty</c:v>
                </c:pt>
                <c:pt idx="2">
                  <c:v>Books</c:v>
                </c:pt>
                <c:pt idx="3">
                  <c:v>Clothing</c:v>
                </c:pt>
                <c:pt idx="4">
                  <c:v>Electronics</c:v>
                </c:pt>
                <c:pt idx="5">
                  <c:v>Footwear</c:v>
                </c:pt>
                <c:pt idx="6">
                  <c:v>Stationery</c:v>
                </c:pt>
              </c:strCache>
            </c:strRef>
          </c:cat>
          <c:val>
            <c:numRef>
              <c:f>Analysis_Report!$B$60:$B$66</c:f>
              <c:numCache>
                <c:formatCode>General</c:formatCode>
                <c:ptCount val="7"/>
                <c:pt idx="0">
                  <c:v>333873</c:v>
                </c:pt>
                <c:pt idx="1">
                  <c:v>161396.5</c:v>
                </c:pt>
                <c:pt idx="2">
                  <c:v>44979.5</c:v>
                </c:pt>
                <c:pt idx="3">
                  <c:v>147534</c:v>
                </c:pt>
                <c:pt idx="4">
                  <c:v>4257700</c:v>
                </c:pt>
                <c:pt idx="5">
                  <c:v>244244</c:v>
                </c:pt>
                <c:pt idx="6">
                  <c:v>15856</c:v>
                </c:pt>
              </c:numCache>
            </c:numRef>
          </c:val>
          <c:extLst>
            <c:ext xmlns:c16="http://schemas.microsoft.com/office/drawing/2014/chart" uri="{C3380CC4-5D6E-409C-BE32-E72D297353CC}">
              <c16:uniqueId val="{00000000-0423-4A9C-A294-96A327A8D5E4}"/>
            </c:ext>
          </c:extLst>
        </c:ser>
        <c:dLbls>
          <c:showLegendKey val="0"/>
          <c:showVal val="0"/>
          <c:showCatName val="0"/>
          <c:showSerName val="0"/>
          <c:showPercent val="0"/>
          <c:showBubbleSize val="0"/>
        </c:dLbls>
        <c:gapWidth val="115"/>
        <c:overlap val="-20"/>
        <c:axId val="1654222560"/>
        <c:axId val="1469376592"/>
      </c:barChart>
      <c:catAx>
        <c:axId val="16542225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9376592"/>
        <c:crosses val="autoZero"/>
        <c:auto val="1"/>
        <c:lblAlgn val="ctr"/>
        <c:lblOffset val="100"/>
        <c:noMultiLvlLbl val="0"/>
      </c:catAx>
      <c:valAx>
        <c:axId val="14693765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222560"/>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[ShopKart_Ecommerce.xlsx]Analysis_Report!PivotTable15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75488358072892"/>
          <c:y val="8.0620155038759689E-2"/>
          <c:w val="0.67955417337538693"/>
          <c:h val="0.78791771958737711"/>
        </c:manualLayout>
      </c:layout>
      <c:barChart>
        <c:barDir val="bar"/>
        <c:grouping val="clustered"/>
        <c:varyColors val="0"/>
        <c:ser>
          <c:idx val="0"/>
          <c:order val="0"/>
          <c:tx>
            <c:strRef>
              <c:f>Analysis_Report!$I$29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Analysis_Report!$H$30:$H$34</c:f>
              <c:strCache>
                <c:ptCount val="5"/>
                <c:pt idx="0">
                  <c:v>Amit Verma</c:v>
                </c:pt>
                <c:pt idx="1">
                  <c:v>Karan Patel</c:v>
                </c:pt>
                <c:pt idx="2">
                  <c:v>Meena Rao</c:v>
                </c:pt>
                <c:pt idx="3">
                  <c:v>Shruti Das</c:v>
                </c:pt>
                <c:pt idx="4">
                  <c:v>Suresh Pillai</c:v>
                </c:pt>
              </c:strCache>
            </c:strRef>
          </c:cat>
          <c:val>
            <c:numRef>
              <c:f>Analysis_Report!$I$30:$I$34</c:f>
              <c:numCache>
                <c:formatCode>General</c:formatCode>
                <c:ptCount val="5"/>
                <c:pt idx="0">
                  <c:v>607445</c:v>
                </c:pt>
                <c:pt idx="1">
                  <c:v>766618</c:v>
                </c:pt>
                <c:pt idx="2">
                  <c:v>399555.5</c:v>
                </c:pt>
                <c:pt idx="3">
                  <c:v>426561</c:v>
                </c:pt>
                <c:pt idx="4">
                  <c:v>406436.5</c:v>
                </c:pt>
              </c:numCache>
            </c:numRef>
          </c:val>
          <c:extLst>
            <c:ext xmlns:c16="http://schemas.microsoft.com/office/drawing/2014/chart" uri="{C3380CC4-5D6E-409C-BE32-E72D297353CC}">
              <c16:uniqueId val="{00000000-C1E2-433E-810A-E9D0EE8D768E}"/>
            </c:ext>
          </c:extLst>
        </c:ser>
        <c:dLbls>
          <c:dLblPos val="inEnd"/>
          <c:showLegendKey val="0"/>
          <c:showVal val="1"/>
          <c:showCatName val="0"/>
          <c:showSerName val="0"/>
          <c:showPercent val="0"/>
          <c:showBubbleSize val="0"/>
        </c:dLbls>
        <c:gapWidth val="65"/>
        <c:axId val="1046047391"/>
        <c:axId val="910405487"/>
      </c:barChart>
      <c:catAx>
        <c:axId val="10460473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910405487"/>
        <c:crosses val="autoZero"/>
        <c:auto val="1"/>
        <c:lblAlgn val="ctr"/>
        <c:lblOffset val="100"/>
        <c:noMultiLvlLbl val="0"/>
      </c:catAx>
      <c:valAx>
        <c:axId val="9104054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04604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[ShopKart_Ecommerce.xlsx]Analysis_Report!PivotTable13</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Analysis_Report!$G$42:$G$43</c:f>
              <c:strCache>
                <c:ptCount val="1"/>
                <c:pt idx="0">
                  <c:v>Q1</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Analysis_Report!$F$44:$F$50</c:f>
              <c:strCache>
                <c:ptCount val="7"/>
                <c:pt idx="0">
                  <c:v>Appliances</c:v>
                </c:pt>
                <c:pt idx="1">
                  <c:v>Beauty</c:v>
                </c:pt>
                <c:pt idx="2">
                  <c:v>Books</c:v>
                </c:pt>
                <c:pt idx="3">
                  <c:v>Clothing</c:v>
                </c:pt>
                <c:pt idx="4">
                  <c:v>Electronics</c:v>
                </c:pt>
                <c:pt idx="5">
                  <c:v>Footwear</c:v>
                </c:pt>
                <c:pt idx="6">
                  <c:v>Stationery</c:v>
                </c:pt>
              </c:strCache>
            </c:strRef>
          </c:cat>
          <c:val>
            <c:numRef>
              <c:f>Analysis_Report!$G$44:$G$50</c:f>
              <c:numCache>
                <c:formatCode>General</c:formatCode>
                <c:ptCount val="7"/>
                <c:pt idx="0">
                  <c:v>73544</c:v>
                </c:pt>
                <c:pt idx="1">
                  <c:v>70085</c:v>
                </c:pt>
                <c:pt idx="2">
                  <c:v>6927</c:v>
                </c:pt>
                <c:pt idx="3">
                  <c:v>51362</c:v>
                </c:pt>
                <c:pt idx="4">
                  <c:v>812602</c:v>
                </c:pt>
                <c:pt idx="5">
                  <c:v>104599</c:v>
                </c:pt>
                <c:pt idx="6">
                  <c:v>4004</c:v>
                </c:pt>
              </c:numCache>
            </c:numRef>
          </c:val>
          <c:extLst>
            <c:ext xmlns:c16="http://schemas.microsoft.com/office/drawing/2014/chart" uri="{C3380CC4-5D6E-409C-BE32-E72D297353CC}">
              <c16:uniqueId val="{00000000-F802-4F91-B800-252004BCA68B}"/>
            </c:ext>
          </c:extLst>
        </c:ser>
        <c:ser>
          <c:idx val="1"/>
          <c:order val="1"/>
          <c:tx>
            <c:strRef>
              <c:f>Analysis_Report!$H$42:$H$43</c:f>
              <c:strCache>
                <c:ptCount val="1"/>
                <c:pt idx="0">
                  <c:v>Q2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Analysis_Report!$F$44:$F$50</c:f>
              <c:strCache>
                <c:ptCount val="7"/>
                <c:pt idx="0">
                  <c:v>Appliances</c:v>
                </c:pt>
                <c:pt idx="1">
                  <c:v>Beauty</c:v>
                </c:pt>
                <c:pt idx="2">
                  <c:v>Books</c:v>
                </c:pt>
                <c:pt idx="3">
                  <c:v>Clothing</c:v>
                </c:pt>
                <c:pt idx="4">
                  <c:v>Electronics</c:v>
                </c:pt>
                <c:pt idx="5">
                  <c:v>Footwear</c:v>
                </c:pt>
                <c:pt idx="6">
                  <c:v>Stationery</c:v>
                </c:pt>
              </c:strCache>
            </c:strRef>
          </c:cat>
          <c:val>
            <c:numRef>
              <c:f>Analysis_Report!$H$44:$H$50</c:f>
              <c:numCache>
                <c:formatCode>General</c:formatCode>
                <c:ptCount val="7"/>
                <c:pt idx="0">
                  <c:v>100727</c:v>
                </c:pt>
                <c:pt idx="1">
                  <c:v>40054</c:v>
                </c:pt>
                <c:pt idx="2">
                  <c:v>15410.5</c:v>
                </c:pt>
                <c:pt idx="3">
                  <c:v>33963</c:v>
                </c:pt>
                <c:pt idx="4">
                  <c:v>1245730.5</c:v>
                </c:pt>
                <c:pt idx="5">
                  <c:v>38014.5</c:v>
                </c:pt>
                <c:pt idx="6">
                  <c:v>4756.5</c:v>
                </c:pt>
              </c:numCache>
            </c:numRef>
          </c:val>
          <c:extLst>
            <c:ext xmlns:c16="http://schemas.microsoft.com/office/drawing/2014/chart" uri="{C3380CC4-5D6E-409C-BE32-E72D297353CC}">
              <c16:uniqueId val="{00000001-F802-4F91-B800-252004BCA68B}"/>
            </c:ext>
          </c:extLst>
        </c:ser>
        <c:ser>
          <c:idx val="2"/>
          <c:order val="2"/>
          <c:tx>
            <c:strRef>
              <c:f>Analysis_Report!$I$42:$I$43</c:f>
              <c:strCache>
                <c:ptCount val="1"/>
                <c:pt idx="0">
                  <c:v>Q3</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Analysis_Report!$F$44:$F$50</c:f>
              <c:strCache>
                <c:ptCount val="7"/>
                <c:pt idx="0">
                  <c:v>Appliances</c:v>
                </c:pt>
                <c:pt idx="1">
                  <c:v>Beauty</c:v>
                </c:pt>
                <c:pt idx="2">
                  <c:v>Books</c:v>
                </c:pt>
                <c:pt idx="3">
                  <c:v>Clothing</c:v>
                </c:pt>
                <c:pt idx="4">
                  <c:v>Electronics</c:v>
                </c:pt>
                <c:pt idx="5">
                  <c:v>Footwear</c:v>
                </c:pt>
                <c:pt idx="6">
                  <c:v>Stationery</c:v>
                </c:pt>
              </c:strCache>
            </c:strRef>
          </c:cat>
          <c:val>
            <c:numRef>
              <c:f>Analysis_Report!$I$44:$I$50</c:f>
              <c:numCache>
                <c:formatCode>General</c:formatCode>
                <c:ptCount val="7"/>
                <c:pt idx="0">
                  <c:v>54274</c:v>
                </c:pt>
                <c:pt idx="1">
                  <c:v>20625</c:v>
                </c:pt>
                <c:pt idx="2">
                  <c:v>11609</c:v>
                </c:pt>
                <c:pt idx="3">
                  <c:v>32414</c:v>
                </c:pt>
                <c:pt idx="4">
                  <c:v>1207111</c:v>
                </c:pt>
                <c:pt idx="5">
                  <c:v>57563</c:v>
                </c:pt>
                <c:pt idx="6">
                  <c:v>2082</c:v>
                </c:pt>
              </c:numCache>
            </c:numRef>
          </c:val>
          <c:extLst>
            <c:ext xmlns:c16="http://schemas.microsoft.com/office/drawing/2014/chart" uri="{C3380CC4-5D6E-409C-BE32-E72D297353CC}">
              <c16:uniqueId val="{00000002-F802-4F91-B800-252004BCA68B}"/>
            </c:ext>
          </c:extLst>
        </c:ser>
        <c:ser>
          <c:idx val="3"/>
          <c:order val="3"/>
          <c:tx>
            <c:strRef>
              <c:f>Analysis_Report!$J$42:$J$43</c:f>
              <c:strCache>
                <c:ptCount val="1"/>
                <c:pt idx="0">
                  <c:v>Q4</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Analysis_Report!$F$44:$F$50</c:f>
              <c:strCache>
                <c:ptCount val="7"/>
                <c:pt idx="0">
                  <c:v>Appliances</c:v>
                </c:pt>
                <c:pt idx="1">
                  <c:v>Beauty</c:v>
                </c:pt>
                <c:pt idx="2">
                  <c:v>Books</c:v>
                </c:pt>
                <c:pt idx="3">
                  <c:v>Clothing</c:v>
                </c:pt>
                <c:pt idx="4">
                  <c:v>Electronics</c:v>
                </c:pt>
                <c:pt idx="5">
                  <c:v>Footwear</c:v>
                </c:pt>
                <c:pt idx="6">
                  <c:v>Stationery</c:v>
                </c:pt>
              </c:strCache>
            </c:strRef>
          </c:cat>
          <c:val>
            <c:numRef>
              <c:f>Analysis_Report!$J$44:$J$50</c:f>
              <c:numCache>
                <c:formatCode>General</c:formatCode>
                <c:ptCount val="7"/>
                <c:pt idx="0">
                  <c:v>105328</c:v>
                </c:pt>
                <c:pt idx="1">
                  <c:v>30632.5</c:v>
                </c:pt>
                <c:pt idx="2">
                  <c:v>11033</c:v>
                </c:pt>
                <c:pt idx="3">
                  <c:v>29795</c:v>
                </c:pt>
                <c:pt idx="4">
                  <c:v>992256.5</c:v>
                </c:pt>
                <c:pt idx="5">
                  <c:v>44067.5</c:v>
                </c:pt>
                <c:pt idx="6">
                  <c:v>5013.5</c:v>
                </c:pt>
              </c:numCache>
            </c:numRef>
          </c:val>
          <c:extLst>
            <c:ext xmlns:c16="http://schemas.microsoft.com/office/drawing/2014/chart" uri="{C3380CC4-5D6E-409C-BE32-E72D297353CC}">
              <c16:uniqueId val="{00000001-A22A-43DB-AC5B-169F7D798C4F}"/>
            </c:ext>
          </c:extLst>
        </c:ser>
        <c:dLbls>
          <c:showLegendKey val="0"/>
          <c:showVal val="0"/>
          <c:showCatName val="0"/>
          <c:showSerName val="0"/>
          <c:showPercent val="0"/>
          <c:showBubbleSize val="0"/>
        </c:dLbls>
        <c:gapWidth val="65"/>
        <c:shape val="box"/>
        <c:axId val="1045998671"/>
        <c:axId val="1024382991"/>
        <c:axId val="0"/>
      </c:bar3DChart>
      <c:catAx>
        <c:axId val="1045998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024382991"/>
        <c:crosses val="autoZero"/>
        <c:auto val="1"/>
        <c:lblAlgn val="ctr"/>
        <c:lblOffset val="100"/>
        <c:noMultiLvlLbl val="0"/>
      </c:catAx>
      <c:valAx>
        <c:axId val="10243829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045998671"/>
        <c:crosses val="autoZero"/>
        <c:crossBetween val="between"/>
      </c:valAx>
      <c:spPr>
        <a:noFill/>
        <a:ln>
          <a:noFill/>
        </a:ln>
        <a:effectLst/>
      </c:spPr>
    </c:plotArea>
    <c:legend>
      <c:legendPos val="r"/>
      <c:layout>
        <c:manualLayout>
          <c:xMode val="edge"/>
          <c:yMode val="edge"/>
          <c:x val="0.80232558139534882"/>
          <c:y val="0.28469795606257881"/>
          <c:w val="0.16304347826086957"/>
          <c:h val="0.5335284552845528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171450</xdr:rowOff>
    </xdr:from>
    <xdr:to>
      <xdr:col>5</xdr:col>
      <xdr:colOff>514349</xdr:colOff>
      <xdr:row>32</xdr:row>
      <xdr:rowOff>28575</xdr:rowOff>
    </xdr:to>
    <xdr:sp macro="" textlink="">
      <xdr:nvSpPr>
        <xdr:cNvPr id="43" name="Rectangle: Rounded Corners 42">
          <a:extLst>
            <a:ext uri="{FF2B5EF4-FFF2-40B4-BE49-F238E27FC236}">
              <a16:creationId xmlns:a16="http://schemas.microsoft.com/office/drawing/2014/main" id="{C832D17C-5DA4-F1BD-E898-CDBFE632123B}"/>
            </a:ext>
          </a:extLst>
        </xdr:cNvPr>
        <xdr:cNvSpPr/>
      </xdr:nvSpPr>
      <xdr:spPr>
        <a:xfrm>
          <a:off x="0" y="3790950"/>
          <a:ext cx="3562349" cy="2333625"/>
        </a:xfrm>
        <a:prstGeom prst="roundRect">
          <a:avLst>
            <a:gd name="adj" fmla="val 994"/>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17</xdr:col>
      <xdr:colOff>247650</xdr:colOff>
      <xdr:row>40</xdr:row>
      <xdr:rowOff>123825</xdr:rowOff>
    </xdr:to>
    <xdr:sp macro="" textlink="">
      <xdr:nvSpPr>
        <xdr:cNvPr id="44" name="Rectangle: Rounded Corners 43">
          <a:extLst>
            <a:ext uri="{FF2B5EF4-FFF2-40B4-BE49-F238E27FC236}">
              <a16:creationId xmlns:a16="http://schemas.microsoft.com/office/drawing/2014/main" id="{3F6ADA29-1FBA-502F-BF7C-7D78858A9B41}"/>
            </a:ext>
          </a:extLst>
        </xdr:cNvPr>
        <xdr:cNvSpPr/>
      </xdr:nvSpPr>
      <xdr:spPr>
        <a:xfrm>
          <a:off x="0" y="0"/>
          <a:ext cx="10610850" cy="7743825"/>
        </a:xfrm>
        <a:prstGeom prst="roundRect">
          <a:avLst>
            <a:gd name="adj" fmla="val 1184"/>
          </a:avLst>
        </a:prstGeom>
        <a:solidFill>
          <a:srgbClr val="525252"/>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0</xdr:col>
      <xdr:colOff>0</xdr:colOff>
      <xdr:row>2</xdr:row>
      <xdr:rowOff>14720</xdr:rowOff>
    </xdr:from>
    <xdr:to>
      <xdr:col>17</xdr:col>
      <xdr:colOff>228600</xdr:colOff>
      <xdr:row>8</xdr:row>
      <xdr:rowOff>26843</xdr:rowOff>
    </xdr:to>
    <xdr:sp macro="" textlink="">
      <xdr:nvSpPr>
        <xdr:cNvPr id="3" name="Rectangle: Rounded Corners 2">
          <a:extLst>
            <a:ext uri="{FF2B5EF4-FFF2-40B4-BE49-F238E27FC236}">
              <a16:creationId xmlns:a16="http://schemas.microsoft.com/office/drawing/2014/main" id="{22638A06-24D1-8F21-86E2-DD7E56F0B2DF}"/>
            </a:ext>
          </a:extLst>
        </xdr:cNvPr>
        <xdr:cNvSpPr/>
      </xdr:nvSpPr>
      <xdr:spPr>
        <a:xfrm>
          <a:off x="0" y="395720"/>
          <a:ext cx="10591800" cy="1155123"/>
        </a:xfrm>
        <a:prstGeom prst="roundRect">
          <a:avLst>
            <a:gd name="adj" fmla="val 7436"/>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180975</xdr:colOff>
      <xdr:row>2</xdr:row>
      <xdr:rowOff>57150</xdr:rowOff>
    </xdr:from>
    <xdr:to>
      <xdr:col>3</xdr:col>
      <xdr:colOff>28575</xdr:colOff>
      <xdr:row>7</xdr:row>
      <xdr:rowOff>133350</xdr:rowOff>
    </xdr:to>
    <xdr:sp macro="" textlink="">
      <xdr:nvSpPr>
        <xdr:cNvPr id="5" name="Rectangle: Rounded Corners 4">
          <a:extLst>
            <a:ext uri="{FF2B5EF4-FFF2-40B4-BE49-F238E27FC236}">
              <a16:creationId xmlns:a16="http://schemas.microsoft.com/office/drawing/2014/main" id="{626F1611-6E61-8C36-2182-919D51765F59}"/>
            </a:ext>
          </a:extLst>
        </xdr:cNvPr>
        <xdr:cNvSpPr/>
      </xdr:nvSpPr>
      <xdr:spPr>
        <a:xfrm>
          <a:off x="180975" y="438150"/>
          <a:ext cx="1676400" cy="1028700"/>
        </a:xfrm>
        <a:prstGeom prst="roundRect">
          <a:avLst>
            <a:gd name="adj" fmla="val 5556"/>
          </a:avLst>
        </a:prstGeom>
        <a:solidFill>
          <a:srgbClr val="00B050"/>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371474</xdr:colOff>
      <xdr:row>7</xdr:row>
      <xdr:rowOff>133350</xdr:rowOff>
    </xdr:from>
    <xdr:to>
      <xdr:col>2</xdr:col>
      <xdr:colOff>400049</xdr:colOff>
      <xdr:row>9</xdr:row>
      <xdr:rowOff>180975</xdr:rowOff>
    </xdr:to>
    <xdr:sp macro="" textlink="">
      <xdr:nvSpPr>
        <xdr:cNvPr id="6" name="TextBox 5">
          <a:extLst>
            <a:ext uri="{FF2B5EF4-FFF2-40B4-BE49-F238E27FC236}">
              <a16:creationId xmlns:a16="http://schemas.microsoft.com/office/drawing/2014/main" id="{6E36827C-A867-BCE3-152F-9A9CF691BA06}"/>
            </a:ext>
          </a:extLst>
        </xdr:cNvPr>
        <xdr:cNvSpPr txBox="1"/>
      </xdr:nvSpPr>
      <xdr:spPr>
        <a:xfrm>
          <a:off x="371474" y="1466850"/>
          <a:ext cx="1247775"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Total Revenue</a:t>
          </a:r>
        </a:p>
      </xdr:txBody>
    </xdr:sp>
    <xdr:clientData/>
  </xdr:twoCellAnchor>
  <xdr:twoCellAnchor editAs="oneCell">
    <xdr:from>
      <xdr:col>2</xdr:col>
      <xdr:colOff>104776</xdr:colOff>
      <xdr:row>2</xdr:row>
      <xdr:rowOff>19050</xdr:rowOff>
    </xdr:from>
    <xdr:to>
      <xdr:col>3</xdr:col>
      <xdr:colOff>28576</xdr:colOff>
      <xdr:row>4</xdr:row>
      <xdr:rowOff>133350</xdr:rowOff>
    </xdr:to>
    <xdr:pic>
      <xdr:nvPicPr>
        <xdr:cNvPr id="13" name="Graphic 12" descr="Money outline">
          <a:extLst>
            <a:ext uri="{FF2B5EF4-FFF2-40B4-BE49-F238E27FC236}">
              <a16:creationId xmlns:a16="http://schemas.microsoft.com/office/drawing/2014/main" id="{CE4A1AAD-DE81-8945-2915-1D1D6D733A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23976" y="400050"/>
          <a:ext cx="533400" cy="495300"/>
        </a:xfrm>
        <a:prstGeom prst="rect">
          <a:avLst/>
        </a:prstGeom>
      </xdr:spPr>
    </xdr:pic>
    <xdr:clientData/>
  </xdr:twoCellAnchor>
  <xdr:twoCellAnchor>
    <xdr:from>
      <xdr:col>0</xdr:col>
      <xdr:colOff>333375</xdr:colOff>
      <xdr:row>4</xdr:row>
      <xdr:rowOff>104775</xdr:rowOff>
    </xdr:from>
    <xdr:to>
      <xdr:col>2</xdr:col>
      <xdr:colOff>276225</xdr:colOff>
      <xdr:row>6</xdr:row>
      <xdr:rowOff>171450</xdr:rowOff>
    </xdr:to>
    <xdr:sp macro="" textlink="Analysis_Report!A14">
      <xdr:nvSpPr>
        <xdr:cNvPr id="14" name="TextBox 13">
          <a:extLst>
            <a:ext uri="{FF2B5EF4-FFF2-40B4-BE49-F238E27FC236}">
              <a16:creationId xmlns:a16="http://schemas.microsoft.com/office/drawing/2014/main" id="{DFB0DBFA-50A6-219F-A59F-19FAF7730400}"/>
            </a:ext>
          </a:extLst>
        </xdr:cNvPr>
        <xdr:cNvSpPr txBox="1"/>
      </xdr:nvSpPr>
      <xdr:spPr>
        <a:xfrm>
          <a:off x="333375" y="866775"/>
          <a:ext cx="1162050" cy="4476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0ECDCB-0679-4EC9-849D-CA9D1B13A487}" type="TxLink">
            <a:rPr lang="en-US" sz="16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5.2M</a:t>
          </a:fld>
          <a:endParaRPr lang="en-IN" sz="16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3</xdr:col>
      <xdr:colOff>143741</xdr:colOff>
      <xdr:row>2</xdr:row>
      <xdr:rowOff>57150</xdr:rowOff>
    </xdr:from>
    <xdr:to>
      <xdr:col>5</xdr:col>
      <xdr:colOff>597477</xdr:colOff>
      <xdr:row>7</xdr:row>
      <xdr:rowOff>133350</xdr:rowOff>
    </xdr:to>
    <xdr:sp macro="" textlink="">
      <xdr:nvSpPr>
        <xdr:cNvPr id="15" name="Rectangle: Rounded Corners 14">
          <a:extLst>
            <a:ext uri="{FF2B5EF4-FFF2-40B4-BE49-F238E27FC236}">
              <a16:creationId xmlns:a16="http://schemas.microsoft.com/office/drawing/2014/main" id="{F7C9C5FE-23EC-F9DE-40A0-D97FAB5066C9}"/>
            </a:ext>
          </a:extLst>
        </xdr:cNvPr>
        <xdr:cNvSpPr/>
      </xdr:nvSpPr>
      <xdr:spPr>
        <a:xfrm>
          <a:off x="1962150" y="438150"/>
          <a:ext cx="1666009" cy="1028700"/>
        </a:xfrm>
        <a:prstGeom prst="roundRect">
          <a:avLst>
            <a:gd name="adj" fmla="val 5556"/>
          </a:avLst>
        </a:prstGeom>
        <a:solidFill>
          <a:schemeClr val="accent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96116</xdr:colOff>
      <xdr:row>2</xdr:row>
      <xdr:rowOff>31173</xdr:rowOff>
    </xdr:from>
    <xdr:to>
      <xdr:col>5</xdr:col>
      <xdr:colOff>38966</xdr:colOff>
      <xdr:row>4</xdr:row>
      <xdr:rowOff>78798</xdr:rowOff>
    </xdr:to>
    <xdr:sp macro="" textlink="">
      <xdr:nvSpPr>
        <xdr:cNvPr id="16" name="TextBox 15">
          <a:extLst>
            <a:ext uri="{FF2B5EF4-FFF2-40B4-BE49-F238E27FC236}">
              <a16:creationId xmlns:a16="http://schemas.microsoft.com/office/drawing/2014/main" id="{FEE05154-1A57-EC45-C498-F2775CEE8961}"/>
            </a:ext>
          </a:extLst>
        </xdr:cNvPr>
        <xdr:cNvSpPr txBox="1"/>
      </xdr:nvSpPr>
      <xdr:spPr>
        <a:xfrm>
          <a:off x="1914525" y="412173"/>
          <a:ext cx="1155123"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Total</a:t>
          </a:r>
          <a:r>
            <a:rPr lang="en-IN" sz="1400" b="1" cap="none" spc="0" baseline="0">
              <a:ln w="0"/>
              <a:solidFill>
                <a:schemeClr val="bg1"/>
              </a:solidFill>
              <a:effectLst>
                <a:outerShdw blurRad="38100" dist="19050" dir="2700000" algn="tl" rotWithShape="0">
                  <a:schemeClr val="dk1">
                    <a:alpha val="40000"/>
                  </a:schemeClr>
                </a:outerShdw>
              </a:effectLst>
            </a:rPr>
            <a:t> Order</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6</xdr:col>
      <xdr:colOff>84859</xdr:colOff>
      <xdr:row>2</xdr:row>
      <xdr:rowOff>48491</xdr:rowOff>
    </xdr:from>
    <xdr:to>
      <xdr:col>8</xdr:col>
      <xdr:colOff>538595</xdr:colOff>
      <xdr:row>7</xdr:row>
      <xdr:rowOff>124691</xdr:rowOff>
    </xdr:to>
    <xdr:sp macro="" textlink="">
      <xdr:nvSpPr>
        <xdr:cNvPr id="17" name="Rectangle: Rounded Corners 16">
          <a:extLst>
            <a:ext uri="{FF2B5EF4-FFF2-40B4-BE49-F238E27FC236}">
              <a16:creationId xmlns:a16="http://schemas.microsoft.com/office/drawing/2014/main" id="{16101249-D1C0-6F72-673D-1B151EFDB22E}"/>
            </a:ext>
          </a:extLst>
        </xdr:cNvPr>
        <xdr:cNvSpPr/>
      </xdr:nvSpPr>
      <xdr:spPr>
        <a:xfrm>
          <a:off x="3721677" y="429491"/>
          <a:ext cx="1666009" cy="1028700"/>
        </a:xfrm>
        <a:prstGeom prst="roundRect">
          <a:avLst>
            <a:gd name="adj" fmla="val 5556"/>
          </a:avLst>
        </a:prstGeom>
        <a:solidFill>
          <a:srgbClr val="FF0000"/>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42430</xdr:colOff>
      <xdr:row>2</xdr:row>
      <xdr:rowOff>39832</xdr:rowOff>
    </xdr:from>
    <xdr:to>
      <xdr:col>11</xdr:col>
      <xdr:colOff>496166</xdr:colOff>
      <xdr:row>7</xdr:row>
      <xdr:rowOff>116032</xdr:rowOff>
    </xdr:to>
    <xdr:sp macro="" textlink="">
      <xdr:nvSpPr>
        <xdr:cNvPr id="18" name="Rectangle: Rounded Corners 17">
          <a:extLst>
            <a:ext uri="{FF2B5EF4-FFF2-40B4-BE49-F238E27FC236}">
              <a16:creationId xmlns:a16="http://schemas.microsoft.com/office/drawing/2014/main" id="{34F2E5DC-D27E-27EE-C5A6-E49615D0D763}"/>
            </a:ext>
          </a:extLst>
        </xdr:cNvPr>
        <xdr:cNvSpPr/>
      </xdr:nvSpPr>
      <xdr:spPr>
        <a:xfrm>
          <a:off x="5497657" y="420832"/>
          <a:ext cx="1666009" cy="1028700"/>
        </a:xfrm>
        <a:prstGeom prst="roundRect">
          <a:avLst>
            <a:gd name="adj" fmla="val 5556"/>
          </a:avLst>
        </a:prstGeom>
        <a:solidFill>
          <a:schemeClr val="tx1">
            <a:lumMod val="50000"/>
            <a:lumOff val="50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575829</xdr:colOff>
      <xdr:row>2</xdr:row>
      <xdr:rowOff>55418</xdr:rowOff>
    </xdr:from>
    <xdr:to>
      <xdr:col>14</xdr:col>
      <xdr:colOff>423429</xdr:colOff>
      <xdr:row>7</xdr:row>
      <xdr:rowOff>131618</xdr:rowOff>
    </xdr:to>
    <xdr:sp macro="" textlink="">
      <xdr:nvSpPr>
        <xdr:cNvPr id="20" name="Rectangle: Rounded Corners 19">
          <a:extLst>
            <a:ext uri="{FF2B5EF4-FFF2-40B4-BE49-F238E27FC236}">
              <a16:creationId xmlns:a16="http://schemas.microsoft.com/office/drawing/2014/main" id="{9B289552-4CC9-C53E-CFD7-22AD1499B8DE}"/>
            </a:ext>
          </a:extLst>
        </xdr:cNvPr>
        <xdr:cNvSpPr/>
      </xdr:nvSpPr>
      <xdr:spPr>
        <a:xfrm>
          <a:off x="7243329" y="436418"/>
          <a:ext cx="1666009" cy="1028700"/>
        </a:xfrm>
        <a:prstGeom prst="roundRect">
          <a:avLst>
            <a:gd name="adj" fmla="val 5556"/>
          </a:avLst>
        </a:prstGeom>
        <a:solidFill>
          <a:srgbClr val="FFFF00"/>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9525</xdr:colOff>
      <xdr:row>2</xdr:row>
      <xdr:rowOff>66675</xdr:rowOff>
    </xdr:from>
    <xdr:to>
      <xdr:col>23</xdr:col>
      <xdr:colOff>466725</xdr:colOff>
      <xdr:row>7</xdr:row>
      <xdr:rowOff>142875</xdr:rowOff>
    </xdr:to>
    <xdr:sp macro="" textlink="">
      <xdr:nvSpPr>
        <xdr:cNvPr id="21" name="Rectangle: Rounded Corners 20">
          <a:extLst>
            <a:ext uri="{FF2B5EF4-FFF2-40B4-BE49-F238E27FC236}">
              <a16:creationId xmlns:a16="http://schemas.microsoft.com/office/drawing/2014/main" id="{CC097C7D-566A-825E-3F0C-DB2D8EF9C5B0}"/>
            </a:ext>
          </a:extLst>
        </xdr:cNvPr>
        <xdr:cNvSpPr/>
      </xdr:nvSpPr>
      <xdr:spPr>
        <a:xfrm>
          <a:off x="12811125" y="447675"/>
          <a:ext cx="1676400" cy="1028700"/>
        </a:xfrm>
        <a:prstGeom prst="roundRect">
          <a:avLst>
            <a:gd name="adj" fmla="val 5556"/>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600075</xdr:colOff>
      <xdr:row>2</xdr:row>
      <xdr:rowOff>76200</xdr:rowOff>
    </xdr:from>
    <xdr:to>
      <xdr:col>23</xdr:col>
      <xdr:colOff>447675</xdr:colOff>
      <xdr:row>7</xdr:row>
      <xdr:rowOff>152400</xdr:rowOff>
    </xdr:to>
    <xdr:sp macro="" textlink="">
      <xdr:nvSpPr>
        <xdr:cNvPr id="24" name="Rectangle: Rounded Corners 23">
          <a:extLst>
            <a:ext uri="{FF2B5EF4-FFF2-40B4-BE49-F238E27FC236}">
              <a16:creationId xmlns:a16="http://schemas.microsoft.com/office/drawing/2014/main" id="{34158ABE-7AA0-275C-327A-9EB9105C20DC}"/>
            </a:ext>
          </a:extLst>
        </xdr:cNvPr>
        <xdr:cNvSpPr/>
      </xdr:nvSpPr>
      <xdr:spPr>
        <a:xfrm>
          <a:off x="12792075" y="457200"/>
          <a:ext cx="1676400" cy="1028700"/>
        </a:xfrm>
        <a:prstGeom prst="roundRect">
          <a:avLst>
            <a:gd name="adj" fmla="val 5556"/>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494435</xdr:colOff>
      <xdr:row>2</xdr:row>
      <xdr:rowOff>22513</xdr:rowOff>
    </xdr:from>
    <xdr:to>
      <xdr:col>6</xdr:col>
      <xdr:colOff>2598</xdr:colOff>
      <xdr:row>4</xdr:row>
      <xdr:rowOff>165388</xdr:rowOff>
    </xdr:to>
    <xdr:pic>
      <xdr:nvPicPr>
        <xdr:cNvPr id="27" name="Graphic 26" descr="Settings with solid fill">
          <a:extLst>
            <a:ext uri="{FF2B5EF4-FFF2-40B4-BE49-F238E27FC236}">
              <a16:creationId xmlns:a16="http://schemas.microsoft.com/office/drawing/2014/main" id="{9917E493-E0A4-920B-3DF5-E50C6DDB20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18980" y="403513"/>
          <a:ext cx="720436" cy="523875"/>
        </a:xfrm>
        <a:prstGeom prst="rect">
          <a:avLst/>
        </a:prstGeom>
      </xdr:spPr>
    </xdr:pic>
    <xdr:clientData/>
  </xdr:twoCellAnchor>
  <xdr:twoCellAnchor>
    <xdr:from>
      <xdr:col>3</xdr:col>
      <xdr:colOff>325581</xdr:colOff>
      <xdr:row>4</xdr:row>
      <xdr:rowOff>106507</xdr:rowOff>
    </xdr:from>
    <xdr:to>
      <xdr:col>5</xdr:col>
      <xdr:colOff>268431</xdr:colOff>
      <xdr:row>6</xdr:row>
      <xdr:rowOff>154132</xdr:rowOff>
    </xdr:to>
    <xdr:sp macro="" textlink="Analysis_Report!A7">
      <xdr:nvSpPr>
        <xdr:cNvPr id="28" name="TextBox 27">
          <a:extLst>
            <a:ext uri="{FF2B5EF4-FFF2-40B4-BE49-F238E27FC236}">
              <a16:creationId xmlns:a16="http://schemas.microsoft.com/office/drawing/2014/main" id="{649FFD03-DBC0-2E0F-C9D7-6762BC4E4CCF}"/>
            </a:ext>
          </a:extLst>
        </xdr:cNvPr>
        <xdr:cNvSpPr txBox="1"/>
      </xdr:nvSpPr>
      <xdr:spPr>
        <a:xfrm>
          <a:off x="2143990" y="868507"/>
          <a:ext cx="1155123"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BC0834-8B7B-407A-9530-70E93C42248A}" type="TxLink">
            <a:rPr lang="en-US" sz="16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250</a:t>
          </a:fld>
          <a:endParaRPr lang="en-IN"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6</xdr:col>
      <xdr:colOff>64077</xdr:colOff>
      <xdr:row>2</xdr:row>
      <xdr:rowOff>3463</xdr:rowOff>
    </xdr:from>
    <xdr:to>
      <xdr:col>8</xdr:col>
      <xdr:colOff>130752</xdr:colOff>
      <xdr:row>4</xdr:row>
      <xdr:rowOff>51088</xdr:rowOff>
    </xdr:to>
    <xdr:sp macro="" textlink="">
      <xdr:nvSpPr>
        <xdr:cNvPr id="29" name="TextBox 28">
          <a:extLst>
            <a:ext uri="{FF2B5EF4-FFF2-40B4-BE49-F238E27FC236}">
              <a16:creationId xmlns:a16="http://schemas.microsoft.com/office/drawing/2014/main" id="{08AE50ED-8C0D-009B-40EF-15F70D00F5E2}"/>
            </a:ext>
          </a:extLst>
        </xdr:cNvPr>
        <xdr:cNvSpPr txBox="1"/>
      </xdr:nvSpPr>
      <xdr:spPr>
        <a:xfrm>
          <a:off x="3700895" y="384463"/>
          <a:ext cx="1278948"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Total</a:t>
          </a:r>
          <a:r>
            <a:rPr lang="en-IN" sz="1400" b="1" cap="none" spc="0" baseline="0">
              <a:ln w="0"/>
              <a:solidFill>
                <a:schemeClr val="bg1"/>
              </a:solidFill>
              <a:effectLst>
                <a:outerShdw blurRad="38100" dist="19050" dir="2700000" algn="tl" rotWithShape="0">
                  <a:schemeClr val="dk1">
                    <a:alpha val="40000"/>
                  </a:schemeClr>
                </a:outerShdw>
              </a:effectLst>
            </a:rPr>
            <a:t> Discount</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6</xdr:col>
      <xdr:colOff>219075</xdr:colOff>
      <xdr:row>4</xdr:row>
      <xdr:rowOff>127289</xdr:rowOff>
    </xdr:from>
    <xdr:to>
      <xdr:col>8</xdr:col>
      <xdr:colOff>285749</xdr:colOff>
      <xdr:row>6</xdr:row>
      <xdr:rowOff>174914</xdr:rowOff>
    </xdr:to>
    <xdr:sp macro="" textlink="Analysis_Report!F8">
      <xdr:nvSpPr>
        <xdr:cNvPr id="30" name="TextBox 29">
          <a:extLst>
            <a:ext uri="{FF2B5EF4-FFF2-40B4-BE49-F238E27FC236}">
              <a16:creationId xmlns:a16="http://schemas.microsoft.com/office/drawing/2014/main" id="{88EB034B-73E0-730A-2650-59CEAC92A5A2}"/>
            </a:ext>
          </a:extLst>
        </xdr:cNvPr>
        <xdr:cNvSpPr txBox="1"/>
      </xdr:nvSpPr>
      <xdr:spPr>
        <a:xfrm>
          <a:off x="3855893" y="889289"/>
          <a:ext cx="1278947"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F26869-0937-4180-B156-DC8D26473CC6}" type="TxLink">
            <a:rPr lang="en-US" sz="1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657.11 L</a:t>
          </a:fld>
          <a:endParaRPr lang="en-IN"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8</xdr:col>
      <xdr:colOff>6927</xdr:colOff>
      <xdr:row>2</xdr:row>
      <xdr:rowOff>31173</xdr:rowOff>
    </xdr:from>
    <xdr:to>
      <xdr:col>8</xdr:col>
      <xdr:colOff>584488</xdr:colOff>
      <xdr:row>4</xdr:row>
      <xdr:rowOff>40698</xdr:rowOff>
    </xdr:to>
    <xdr:pic>
      <xdr:nvPicPr>
        <xdr:cNvPr id="32" name="Graphic 31" descr="Flying Money with solid fill">
          <a:extLst>
            <a:ext uri="{FF2B5EF4-FFF2-40B4-BE49-F238E27FC236}">
              <a16:creationId xmlns:a16="http://schemas.microsoft.com/office/drawing/2014/main" id="{ECB5A928-6568-F6C9-92B5-38CA543ADA4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56018" y="412173"/>
          <a:ext cx="577561" cy="390525"/>
        </a:xfrm>
        <a:prstGeom prst="rect">
          <a:avLst/>
        </a:prstGeom>
      </xdr:spPr>
    </xdr:pic>
    <xdr:clientData/>
  </xdr:twoCellAnchor>
  <xdr:twoCellAnchor>
    <xdr:from>
      <xdr:col>8</xdr:col>
      <xdr:colOff>510886</xdr:colOff>
      <xdr:row>2</xdr:row>
      <xdr:rowOff>12123</xdr:rowOff>
    </xdr:from>
    <xdr:to>
      <xdr:col>10</xdr:col>
      <xdr:colOff>577560</xdr:colOff>
      <xdr:row>5</xdr:row>
      <xdr:rowOff>31173</xdr:rowOff>
    </xdr:to>
    <xdr:sp macro="" textlink="">
      <xdr:nvSpPr>
        <xdr:cNvPr id="33" name="TextBox 32">
          <a:extLst>
            <a:ext uri="{FF2B5EF4-FFF2-40B4-BE49-F238E27FC236}">
              <a16:creationId xmlns:a16="http://schemas.microsoft.com/office/drawing/2014/main" id="{F970ECE0-5B8F-5479-F0AC-71E4FD790558}"/>
            </a:ext>
          </a:extLst>
        </xdr:cNvPr>
        <xdr:cNvSpPr txBox="1"/>
      </xdr:nvSpPr>
      <xdr:spPr>
        <a:xfrm>
          <a:off x="5359977" y="393123"/>
          <a:ext cx="1278947" cy="5905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AVG. Total</a:t>
          </a:r>
          <a:br>
            <a:rPr lang="en-IN" sz="1400" b="1" cap="none" spc="0">
              <a:ln w="0"/>
              <a:solidFill>
                <a:schemeClr val="bg1"/>
              </a:solidFill>
              <a:effectLst>
                <a:outerShdw blurRad="38100" dist="19050" dir="2700000" algn="tl" rotWithShape="0">
                  <a:schemeClr val="dk1">
                    <a:alpha val="40000"/>
                  </a:schemeClr>
                </a:outerShdw>
              </a:effectLst>
            </a:rPr>
          </a:br>
          <a:r>
            <a:rPr lang="en-IN" sz="1400" b="1" cap="none" spc="0">
              <a:ln w="0"/>
              <a:solidFill>
                <a:schemeClr val="bg1"/>
              </a:solidFill>
              <a:effectLst>
                <a:outerShdw blurRad="38100" dist="19050" dir="2700000" algn="tl" rotWithShape="0">
                  <a:schemeClr val="dk1">
                    <a:alpha val="40000"/>
                  </a:schemeClr>
                </a:outerShdw>
              </a:effectLst>
            </a:rPr>
            <a:t>Revenue</a:t>
          </a:r>
        </a:p>
      </xdr:txBody>
    </xdr:sp>
    <xdr:clientData/>
  </xdr:twoCellAnchor>
  <xdr:twoCellAnchor>
    <xdr:from>
      <xdr:col>9</xdr:col>
      <xdr:colOff>158461</xdr:colOff>
      <xdr:row>4</xdr:row>
      <xdr:rowOff>82261</xdr:rowOff>
    </xdr:from>
    <xdr:to>
      <xdr:col>11</xdr:col>
      <xdr:colOff>225135</xdr:colOff>
      <xdr:row>7</xdr:row>
      <xdr:rowOff>101311</xdr:rowOff>
    </xdr:to>
    <xdr:sp macro="" textlink="Analysis_Report!F14">
      <xdr:nvSpPr>
        <xdr:cNvPr id="34" name="TextBox 33">
          <a:extLst>
            <a:ext uri="{FF2B5EF4-FFF2-40B4-BE49-F238E27FC236}">
              <a16:creationId xmlns:a16="http://schemas.microsoft.com/office/drawing/2014/main" id="{9A37F513-6D06-72FD-8847-1587B4BF3D49}"/>
            </a:ext>
          </a:extLst>
        </xdr:cNvPr>
        <xdr:cNvSpPr txBox="1"/>
      </xdr:nvSpPr>
      <xdr:spPr>
        <a:xfrm>
          <a:off x="5613688" y="844261"/>
          <a:ext cx="1278947" cy="5905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7C2B61-813B-4032-A9DF-4B60083F191D}" type="TxLink">
            <a:rPr lang="en-US" sz="1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20.82K</a:t>
          </a:fld>
          <a:endParaRPr lang="en-IN"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10</xdr:col>
      <xdr:colOff>433819</xdr:colOff>
      <xdr:row>2</xdr:row>
      <xdr:rowOff>40697</xdr:rowOff>
    </xdr:from>
    <xdr:to>
      <xdr:col>11</xdr:col>
      <xdr:colOff>443345</xdr:colOff>
      <xdr:row>5</xdr:row>
      <xdr:rowOff>2597</xdr:rowOff>
    </xdr:to>
    <xdr:pic>
      <xdr:nvPicPr>
        <xdr:cNvPr id="36" name="Graphic 35" descr="Circles with lines with solid fill">
          <a:extLst>
            <a:ext uri="{FF2B5EF4-FFF2-40B4-BE49-F238E27FC236}">
              <a16:creationId xmlns:a16="http://schemas.microsoft.com/office/drawing/2014/main" id="{9B6EDAE9-53A8-442D-85CC-062554F5A5B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95183" y="421697"/>
          <a:ext cx="615662" cy="533400"/>
        </a:xfrm>
        <a:prstGeom prst="rect">
          <a:avLst/>
        </a:prstGeom>
      </xdr:spPr>
    </xdr:pic>
    <xdr:clientData/>
  </xdr:twoCellAnchor>
  <xdr:twoCellAnchor>
    <xdr:from>
      <xdr:col>11</xdr:col>
      <xdr:colOff>437283</xdr:colOff>
      <xdr:row>2</xdr:row>
      <xdr:rowOff>865</xdr:rowOff>
    </xdr:from>
    <xdr:to>
      <xdr:col>13</xdr:col>
      <xdr:colOff>503957</xdr:colOff>
      <xdr:row>5</xdr:row>
      <xdr:rowOff>19915</xdr:rowOff>
    </xdr:to>
    <xdr:sp macro="" textlink="">
      <xdr:nvSpPr>
        <xdr:cNvPr id="37" name="TextBox 36">
          <a:extLst>
            <a:ext uri="{FF2B5EF4-FFF2-40B4-BE49-F238E27FC236}">
              <a16:creationId xmlns:a16="http://schemas.microsoft.com/office/drawing/2014/main" id="{D6C27703-D203-A6FA-0AAD-5EB98C2AAE0F}"/>
            </a:ext>
          </a:extLst>
        </xdr:cNvPr>
        <xdr:cNvSpPr txBox="1"/>
      </xdr:nvSpPr>
      <xdr:spPr>
        <a:xfrm>
          <a:off x="7104783" y="381865"/>
          <a:ext cx="1278947" cy="5905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AVG.</a:t>
          </a:r>
          <a:r>
            <a:rPr lang="en-IN" sz="1400" b="1" cap="none" spc="0" baseline="0">
              <a:ln w="0"/>
              <a:solidFill>
                <a:schemeClr val="bg1"/>
              </a:solidFill>
              <a:effectLst>
                <a:outerShdw blurRad="38100" dist="19050" dir="2700000" algn="tl" rotWithShape="0">
                  <a:schemeClr val="dk1">
                    <a:alpha val="40000"/>
                  </a:schemeClr>
                </a:outerShdw>
              </a:effectLst>
            </a:rPr>
            <a:t> CUS. Rating</a:t>
          </a:r>
        </a:p>
      </xdr:txBody>
    </xdr:sp>
    <xdr:clientData/>
  </xdr:twoCellAnchor>
  <xdr:twoCellAnchor>
    <xdr:from>
      <xdr:col>11</xdr:col>
      <xdr:colOff>556779</xdr:colOff>
      <xdr:row>4</xdr:row>
      <xdr:rowOff>91786</xdr:rowOff>
    </xdr:from>
    <xdr:to>
      <xdr:col>14</xdr:col>
      <xdr:colOff>17317</xdr:colOff>
      <xdr:row>7</xdr:row>
      <xdr:rowOff>110836</xdr:rowOff>
    </xdr:to>
    <xdr:sp macro="" textlink="Analysis_Report!F21">
      <xdr:nvSpPr>
        <xdr:cNvPr id="38" name="TextBox 37">
          <a:extLst>
            <a:ext uri="{FF2B5EF4-FFF2-40B4-BE49-F238E27FC236}">
              <a16:creationId xmlns:a16="http://schemas.microsoft.com/office/drawing/2014/main" id="{76C80AC0-78AF-E18B-0FC7-1C2FA24C1959}"/>
            </a:ext>
          </a:extLst>
        </xdr:cNvPr>
        <xdr:cNvSpPr txBox="1"/>
      </xdr:nvSpPr>
      <xdr:spPr>
        <a:xfrm>
          <a:off x="7224279" y="853786"/>
          <a:ext cx="1278947" cy="5905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80C812-49AA-4FEE-B06E-130FE8E35882}" type="TxLink">
            <a:rPr lang="en-US" sz="1400" b="1" i="0" u="none" strike="noStrike" cap="none" spc="0" baseline="0">
              <a:ln w="0"/>
              <a:solidFill>
                <a:schemeClr val="bg1"/>
              </a:solidFill>
              <a:effectLst>
                <a:outerShdw blurRad="38100" dist="19050" dir="2700000" algn="tl" rotWithShape="0">
                  <a:schemeClr val="dk1">
                    <a:alpha val="40000"/>
                  </a:schemeClr>
                </a:outerShdw>
              </a:effectLst>
              <a:latin typeface="Calibri"/>
              <a:ea typeface="Calibri"/>
              <a:cs typeface="Calibri"/>
            </a:rPr>
            <a:pPr algn="ctr"/>
            <a:t>4.14</a:t>
          </a:fld>
          <a:endParaRPr lang="en-IN" sz="1800" b="1" cap="none" spc="0" baseline="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13</xdr:col>
      <xdr:colOff>291811</xdr:colOff>
      <xdr:row>2</xdr:row>
      <xdr:rowOff>5196</xdr:rowOff>
    </xdr:from>
    <xdr:to>
      <xdr:col>14</xdr:col>
      <xdr:colOff>358487</xdr:colOff>
      <xdr:row>5</xdr:row>
      <xdr:rowOff>5196</xdr:rowOff>
    </xdr:to>
    <xdr:pic>
      <xdr:nvPicPr>
        <xdr:cNvPr id="40" name="Graphic 39" descr="Rating 3 Star with solid fill">
          <a:extLst>
            <a:ext uri="{FF2B5EF4-FFF2-40B4-BE49-F238E27FC236}">
              <a16:creationId xmlns:a16="http://schemas.microsoft.com/office/drawing/2014/main" id="{3B003E0C-9943-7C52-8767-ED62B39F7FF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71584" y="386196"/>
          <a:ext cx="672812" cy="571500"/>
        </a:xfrm>
        <a:prstGeom prst="rect">
          <a:avLst/>
        </a:prstGeom>
      </xdr:spPr>
    </xdr:pic>
    <xdr:clientData/>
  </xdr:twoCellAnchor>
  <xdr:twoCellAnchor>
    <xdr:from>
      <xdr:col>17</xdr:col>
      <xdr:colOff>276225</xdr:colOff>
      <xdr:row>0</xdr:row>
      <xdr:rowOff>0</xdr:rowOff>
    </xdr:from>
    <xdr:to>
      <xdr:col>20</xdr:col>
      <xdr:colOff>447675</xdr:colOff>
      <xdr:row>39</xdr:row>
      <xdr:rowOff>9524</xdr:rowOff>
    </xdr:to>
    <xdr:sp macro="" textlink="">
      <xdr:nvSpPr>
        <xdr:cNvPr id="42" name="Rectangle: Rounded Corners 41">
          <a:extLst>
            <a:ext uri="{FF2B5EF4-FFF2-40B4-BE49-F238E27FC236}">
              <a16:creationId xmlns:a16="http://schemas.microsoft.com/office/drawing/2014/main" id="{F373CA46-7CA0-3E69-7835-376AFD503D81}"/>
            </a:ext>
          </a:extLst>
        </xdr:cNvPr>
        <xdr:cNvSpPr/>
      </xdr:nvSpPr>
      <xdr:spPr>
        <a:xfrm>
          <a:off x="10639425" y="0"/>
          <a:ext cx="2000250" cy="7439024"/>
        </a:xfrm>
        <a:prstGeom prst="roundRect">
          <a:avLst>
            <a:gd name="adj" fmla="val 281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552450</xdr:colOff>
      <xdr:row>0</xdr:row>
      <xdr:rowOff>47625</xdr:rowOff>
    </xdr:from>
    <xdr:to>
      <xdr:col>10</xdr:col>
      <xdr:colOff>171450</xdr:colOff>
      <xdr:row>2</xdr:row>
      <xdr:rowOff>19050</xdr:rowOff>
    </xdr:to>
    <xdr:sp macro="" textlink="">
      <xdr:nvSpPr>
        <xdr:cNvPr id="47" name="Rectangle 46">
          <a:extLst>
            <a:ext uri="{FF2B5EF4-FFF2-40B4-BE49-F238E27FC236}">
              <a16:creationId xmlns:a16="http://schemas.microsoft.com/office/drawing/2014/main" id="{675245AA-27C2-CF34-BC6D-81DFF717D8F2}"/>
            </a:ext>
          </a:extLst>
        </xdr:cNvPr>
        <xdr:cNvSpPr/>
      </xdr:nvSpPr>
      <xdr:spPr>
        <a:xfrm>
          <a:off x="3600450" y="47625"/>
          <a:ext cx="2667000" cy="3524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0000"/>
              </a:solidFill>
            </a:rPr>
            <a:t>Sales</a:t>
          </a:r>
          <a:r>
            <a:rPr lang="en-IN" sz="1400" b="1" baseline="0">
              <a:solidFill>
                <a:srgbClr val="FF0000"/>
              </a:solidFill>
            </a:rPr>
            <a:t> Report</a:t>
          </a:r>
          <a:endParaRPr lang="en-IN" sz="1100" b="1">
            <a:solidFill>
              <a:srgbClr val="FF0000"/>
            </a:solidFill>
          </a:endParaRPr>
        </a:p>
      </xdr:txBody>
    </xdr:sp>
    <xdr:clientData/>
  </xdr:twoCellAnchor>
  <xdr:twoCellAnchor editAs="oneCell">
    <xdr:from>
      <xdr:col>9</xdr:col>
      <xdr:colOff>171450</xdr:colOff>
      <xdr:row>0</xdr:row>
      <xdr:rowOff>66675</xdr:rowOff>
    </xdr:from>
    <xdr:to>
      <xdr:col>10</xdr:col>
      <xdr:colOff>66675</xdr:colOff>
      <xdr:row>2</xdr:row>
      <xdr:rowOff>28575</xdr:rowOff>
    </xdr:to>
    <xdr:pic>
      <xdr:nvPicPr>
        <xdr:cNvPr id="49" name="Graphic 48" descr="Bar graph with upward trend with solid fill">
          <a:extLst>
            <a:ext uri="{FF2B5EF4-FFF2-40B4-BE49-F238E27FC236}">
              <a16:creationId xmlns:a16="http://schemas.microsoft.com/office/drawing/2014/main" id="{B87FAD5D-14CB-6F7C-F55B-59C6A125A5C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657850" y="66675"/>
          <a:ext cx="504825" cy="342900"/>
        </a:xfrm>
        <a:prstGeom prst="rect">
          <a:avLst/>
        </a:prstGeom>
      </xdr:spPr>
    </xdr:pic>
    <xdr:clientData/>
  </xdr:twoCellAnchor>
  <xdr:twoCellAnchor>
    <xdr:from>
      <xdr:col>0</xdr:col>
      <xdr:colOff>47625</xdr:colOff>
      <xdr:row>8</xdr:row>
      <xdr:rowOff>76200</xdr:rowOff>
    </xdr:from>
    <xdr:to>
      <xdr:col>4</xdr:col>
      <xdr:colOff>180975</xdr:colOff>
      <xdr:row>19</xdr:row>
      <xdr:rowOff>38100</xdr:rowOff>
    </xdr:to>
    <xdr:sp macro="" textlink="">
      <xdr:nvSpPr>
        <xdr:cNvPr id="8" name="Rectangle: Rounded Corners 7">
          <a:extLst>
            <a:ext uri="{FF2B5EF4-FFF2-40B4-BE49-F238E27FC236}">
              <a16:creationId xmlns:a16="http://schemas.microsoft.com/office/drawing/2014/main" id="{9AC26929-6DF3-47BF-3701-5233AD74966C}"/>
            </a:ext>
          </a:extLst>
        </xdr:cNvPr>
        <xdr:cNvSpPr/>
      </xdr:nvSpPr>
      <xdr:spPr>
        <a:xfrm>
          <a:off x="47625" y="1600200"/>
          <a:ext cx="2571750" cy="2057400"/>
        </a:xfrm>
        <a:prstGeom prst="roundRect">
          <a:avLst>
            <a:gd name="adj" fmla="val 4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10</xdr:row>
      <xdr:rowOff>142875</xdr:rowOff>
    </xdr:from>
    <xdr:to>
      <xdr:col>4</xdr:col>
      <xdr:colOff>190500</xdr:colOff>
      <xdr:row>19</xdr:row>
      <xdr:rowOff>95250</xdr:rowOff>
    </xdr:to>
    <xdr:graphicFrame macro="">
      <xdr:nvGraphicFramePr>
        <xdr:cNvPr id="9" name="Chart 8">
          <a:extLst>
            <a:ext uri="{FF2B5EF4-FFF2-40B4-BE49-F238E27FC236}">
              <a16:creationId xmlns:a16="http://schemas.microsoft.com/office/drawing/2014/main" id="{CF0C452A-FC74-4779-8336-1C6FAF870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304800</xdr:colOff>
      <xdr:row>8</xdr:row>
      <xdr:rowOff>76200</xdr:rowOff>
    </xdr:from>
    <xdr:to>
      <xdr:col>9</xdr:col>
      <xdr:colOff>285750</xdr:colOff>
      <xdr:row>19</xdr:row>
      <xdr:rowOff>38100</xdr:rowOff>
    </xdr:to>
    <xdr:sp macro="" textlink="">
      <xdr:nvSpPr>
        <xdr:cNvPr id="10" name="Rectangle: Rounded Corners 9">
          <a:extLst>
            <a:ext uri="{FF2B5EF4-FFF2-40B4-BE49-F238E27FC236}">
              <a16:creationId xmlns:a16="http://schemas.microsoft.com/office/drawing/2014/main" id="{B4F21DCB-9901-FA35-F2C3-171321B2EC89}"/>
            </a:ext>
          </a:extLst>
        </xdr:cNvPr>
        <xdr:cNvSpPr/>
      </xdr:nvSpPr>
      <xdr:spPr>
        <a:xfrm>
          <a:off x="2743200" y="1600200"/>
          <a:ext cx="3028950" cy="2057400"/>
        </a:xfrm>
        <a:prstGeom prst="roundRect">
          <a:avLst>
            <a:gd name="adj" fmla="val 4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361950</xdr:colOff>
      <xdr:row>9</xdr:row>
      <xdr:rowOff>133349</xdr:rowOff>
    </xdr:from>
    <xdr:to>
      <xdr:col>9</xdr:col>
      <xdr:colOff>219075</xdr:colOff>
      <xdr:row>18</xdr:row>
      <xdr:rowOff>161924</xdr:rowOff>
    </xdr:to>
    <xdr:graphicFrame macro="">
      <xdr:nvGraphicFramePr>
        <xdr:cNvPr id="11" name="Chart 10">
          <a:extLst>
            <a:ext uri="{FF2B5EF4-FFF2-40B4-BE49-F238E27FC236}">
              <a16:creationId xmlns:a16="http://schemas.microsoft.com/office/drawing/2014/main" id="{7301273C-E076-43CB-B81D-C4C685617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352425</xdr:colOff>
      <xdr:row>8</xdr:row>
      <xdr:rowOff>57150</xdr:rowOff>
    </xdr:from>
    <xdr:to>
      <xdr:col>15</xdr:col>
      <xdr:colOff>314325</xdr:colOff>
      <xdr:row>19</xdr:row>
      <xdr:rowOff>19050</xdr:rowOff>
    </xdr:to>
    <xdr:sp macro="" textlink="">
      <xdr:nvSpPr>
        <xdr:cNvPr id="12" name="Rectangle: Rounded Corners 11">
          <a:extLst>
            <a:ext uri="{FF2B5EF4-FFF2-40B4-BE49-F238E27FC236}">
              <a16:creationId xmlns:a16="http://schemas.microsoft.com/office/drawing/2014/main" id="{56A70559-9C17-55F5-FCDC-57888AAF747C}"/>
            </a:ext>
          </a:extLst>
        </xdr:cNvPr>
        <xdr:cNvSpPr/>
      </xdr:nvSpPr>
      <xdr:spPr>
        <a:xfrm>
          <a:off x="5838825" y="1581150"/>
          <a:ext cx="3619500" cy="2057400"/>
        </a:xfrm>
        <a:prstGeom prst="roundRect">
          <a:avLst>
            <a:gd name="adj" fmla="val 4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466725</xdr:colOff>
      <xdr:row>9</xdr:row>
      <xdr:rowOff>57151</xdr:rowOff>
    </xdr:from>
    <xdr:to>
      <xdr:col>14</xdr:col>
      <xdr:colOff>400051</xdr:colOff>
      <xdr:row>18</xdr:row>
      <xdr:rowOff>171451</xdr:rowOff>
    </xdr:to>
    <xdr:graphicFrame macro="">
      <xdr:nvGraphicFramePr>
        <xdr:cNvPr id="19" name="Chart 18">
          <a:extLst>
            <a:ext uri="{FF2B5EF4-FFF2-40B4-BE49-F238E27FC236}">
              <a16:creationId xmlns:a16="http://schemas.microsoft.com/office/drawing/2014/main" id="{BC261461-7474-4485-9A77-2ED4D5E98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342900</xdr:colOff>
      <xdr:row>0</xdr:row>
      <xdr:rowOff>47626</xdr:rowOff>
    </xdr:from>
    <xdr:to>
      <xdr:col>20</xdr:col>
      <xdr:colOff>342900</xdr:colOff>
      <xdr:row>12</xdr:row>
      <xdr:rowOff>28575</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088868E9-F36E-4F93-8686-C0E29AEAAD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706100" y="47626"/>
              <a:ext cx="1828800" cy="2266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162791</xdr:colOff>
      <xdr:row>2</xdr:row>
      <xdr:rowOff>78798</xdr:rowOff>
    </xdr:from>
    <xdr:to>
      <xdr:col>2</xdr:col>
      <xdr:colOff>105641</xdr:colOff>
      <xdr:row>4</xdr:row>
      <xdr:rowOff>126423</xdr:rowOff>
    </xdr:to>
    <xdr:sp macro="" textlink="">
      <xdr:nvSpPr>
        <xdr:cNvPr id="2" name="TextBox 1">
          <a:extLst>
            <a:ext uri="{FF2B5EF4-FFF2-40B4-BE49-F238E27FC236}">
              <a16:creationId xmlns:a16="http://schemas.microsoft.com/office/drawing/2014/main" id="{115F9398-5B5C-8969-ABB1-693C9C8FB2D5}"/>
            </a:ext>
          </a:extLst>
        </xdr:cNvPr>
        <xdr:cNvSpPr txBox="1"/>
      </xdr:nvSpPr>
      <xdr:spPr>
        <a:xfrm>
          <a:off x="162791" y="459798"/>
          <a:ext cx="1162050"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Total</a:t>
          </a:r>
          <a:r>
            <a:rPr lang="en-IN" sz="1400" b="1" cap="none" spc="0" baseline="0">
              <a:ln w="0"/>
              <a:solidFill>
                <a:schemeClr val="bg1"/>
              </a:solidFill>
              <a:effectLst>
                <a:outerShdw blurRad="38100" dist="19050" dir="2700000" algn="tl" rotWithShape="0">
                  <a:schemeClr val="dk1">
                    <a:alpha val="40000"/>
                  </a:schemeClr>
                </a:outerShdw>
              </a:effectLst>
            </a:rPr>
            <a:t> Sales</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476250</xdr:colOff>
      <xdr:row>8</xdr:row>
      <xdr:rowOff>69273</xdr:rowOff>
    </xdr:from>
    <xdr:to>
      <xdr:col>2</xdr:col>
      <xdr:colOff>524741</xdr:colOff>
      <xdr:row>10</xdr:row>
      <xdr:rowOff>116898</xdr:rowOff>
    </xdr:to>
    <xdr:sp macro="" textlink="">
      <xdr:nvSpPr>
        <xdr:cNvPr id="4" name="TextBox 3">
          <a:extLst>
            <a:ext uri="{FF2B5EF4-FFF2-40B4-BE49-F238E27FC236}">
              <a16:creationId xmlns:a16="http://schemas.microsoft.com/office/drawing/2014/main" id="{880C89F4-BECE-D2C7-35F6-F8AE2D982356}"/>
            </a:ext>
          </a:extLst>
        </xdr:cNvPr>
        <xdr:cNvSpPr txBox="1"/>
      </xdr:nvSpPr>
      <xdr:spPr>
        <a:xfrm>
          <a:off x="476250" y="1593273"/>
          <a:ext cx="1267691"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Payment</a:t>
          </a:r>
          <a:r>
            <a:rPr lang="en-IN" sz="1400" b="1" cap="none" spc="0" baseline="0">
              <a:ln w="0"/>
              <a:solidFill>
                <a:schemeClr val="bg1"/>
              </a:solidFill>
              <a:effectLst>
                <a:outerShdw blurRad="38100" dist="19050" dir="2700000" algn="tl" rotWithShape="0">
                  <a:schemeClr val="dk1">
                    <a:alpha val="40000"/>
                  </a:schemeClr>
                </a:outerShdw>
              </a:effectLst>
            </a:rPr>
            <a:t> Met.</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457200</xdr:colOff>
      <xdr:row>7</xdr:row>
      <xdr:rowOff>164523</xdr:rowOff>
    </xdr:from>
    <xdr:to>
      <xdr:col>7</xdr:col>
      <xdr:colOff>505691</xdr:colOff>
      <xdr:row>10</xdr:row>
      <xdr:rowOff>21648</xdr:rowOff>
    </xdr:to>
    <xdr:sp macro="" textlink="">
      <xdr:nvSpPr>
        <xdr:cNvPr id="7" name="TextBox 6">
          <a:extLst>
            <a:ext uri="{FF2B5EF4-FFF2-40B4-BE49-F238E27FC236}">
              <a16:creationId xmlns:a16="http://schemas.microsoft.com/office/drawing/2014/main" id="{4F7E017B-82AA-5385-4238-04BAF7C87988}"/>
            </a:ext>
          </a:extLst>
        </xdr:cNvPr>
        <xdr:cNvSpPr txBox="1"/>
      </xdr:nvSpPr>
      <xdr:spPr>
        <a:xfrm>
          <a:off x="3505200" y="1498023"/>
          <a:ext cx="1267691"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Month's</a:t>
          </a:r>
          <a:r>
            <a:rPr lang="en-IN" sz="1400" b="1" cap="none" spc="0" baseline="0">
              <a:ln w="0"/>
              <a:solidFill>
                <a:schemeClr val="bg1"/>
              </a:solidFill>
              <a:effectLst>
                <a:outerShdw blurRad="38100" dist="19050" dir="2700000" algn="tl" rotWithShape="0">
                  <a:schemeClr val="dk1">
                    <a:alpha val="40000"/>
                  </a:schemeClr>
                </a:outerShdw>
              </a:effectLst>
            </a:rPr>
            <a:t> Ord.</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11</xdr:col>
      <xdr:colOff>28575</xdr:colOff>
      <xdr:row>7</xdr:row>
      <xdr:rowOff>154998</xdr:rowOff>
    </xdr:from>
    <xdr:to>
      <xdr:col>13</xdr:col>
      <xdr:colOff>190500</xdr:colOff>
      <xdr:row>10</xdr:row>
      <xdr:rowOff>12123</xdr:rowOff>
    </xdr:to>
    <xdr:sp macro="" textlink="">
      <xdr:nvSpPr>
        <xdr:cNvPr id="23" name="TextBox 22">
          <a:extLst>
            <a:ext uri="{FF2B5EF4-FFF2-40B4-BE49-F238E27FC236}">
              <a16:creationId xmlns:a16="http://schemas.microsoft.com/office/drawing/2014/main" id="{B44E45E1-B9C3-68E0-17CB-0180FA1A93FD}"/>
            </a:ext>
          </a:extLst>
        </xdr:cNvPr>
        <xdr:cNvSpPr txBox="1"/>
      </xdr:nvSpPr>
      <xdr:spPr>
        <a:xfrm>
          <a:off x="6734175" y="1488498"/>
          <a:ext cx="1381125"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Cate.-Wise</a:t>
          </a:r>
          <a:r>
            <a:rPr lang="en-IN" sz="1400" b="1" cap="none" spc="0" baseline="0">
              <a:ln w="0"/>
              <a:solidFill>
                <a:schemeClr val="bg1"/>
              </a:solidFill>
              <a:effectLst>
                <a:outerShdw blurRad="38100" dist="19050" dir="2700000" algn="tl" rotWithShape="0">
                  <a:schemeClr val="dk1">
                    <a:alpha val="40000"/>
                  </a:schemeClr>
                </a:outerShdw>
              </a:effectLst>
            </a:rPr>
            <a:t> Rev.</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6</xdr:col>
      <xdr:colOff>114299</xdr:colOff>
      <xdr:row>19</xdr:row>
      <xdr:rowOff>104775</xdr:rowOff>
    </xdr:from>
    <xdr:to>
      <xdr:col>12</xdr:col>
      <xdr:colOff>47624</xdr:colOff>
      <xdr:row>31</xdr:row>
      <xdr:rowOff>152400</xdr:rowOff>
    </xdr:to>
    <xdr:sp macro="" textlink="">
      <xdr:nvSpPr>
        <xdr:cNvPr id="31" name="Rectangle: Rounded Corners 30">
          <a:extLst>
            <a:ext uri="{FF2B5EF4-FFF2-40B4-BE49-F238E27FC236}">
              <a16:creationId xmlns:a16="http://schemas.microsoft.com/office/drawing/2014/main" id="{76FFF9C2-25AB-2099-730C-4EB41B89ED39}"/>
            </a:ext>
          </a:extLst>
        </xdr:cNvPr>
        <xdr:cNvSpPr/>
      </xdr:nvSpPr>
      <xdr:spPr>
        <a:xfrm>
          <a:off x="3771899" y="3724275"/>
          <a:ext cx="3590925" cy="2333625"/>
        </a:xfrm>
        <a:prstGeom prst="roundRect">
          <a:avLst>
            <a:gd name="adj" fmla="val 994"/>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142875</xdr:colOff>
      <xdr:row>20</xdr:row>
      <xdr:rowOff>171450</xdr:rowOff>
    </xdr:from>
    <xdr:to>
      <xdr:col>12</xdr:col>
      <xdr:colOff>0</xdr:colOff>
      <xdr:row>31</xdr:row>
      <xdr:rowOff>123825</xdr:rowOff>
    </xdr:to>
    <xdr:graphicFrame macro="">
      <xdr:nvGraphicFramePr>
        <xdr:cNvPr id="41" name="Chart 40">
          <a:extLst>
            <a:ext uri="{FF2B5EF4-FFF2-40B4-BE49-F238E27FC236}">
              <a16:creationId xmlns:a16="http://schemas.microsoft.com/office/drawing/2014/main" id="{51F12BAF-35AC-4596-9B39-42FD4CE1D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66674</xdr:colOff>
      <xdr:row>19</xdr:row>
      <xdr:rowOff>85725</xdr:rowOff>
    </xdr:from>
    <xdr:to>
      <xdr:col>5</xdr:col>
      <xdr:colOff>609599</xdr:colOff>
      <xdr:row>31</xdr:row>
      <xdr:rowOff>133350</xdr:rowOff>
    </xdr:to>
    <xdr:sp macro="" textlink="">
      <xdr:nvSpPr>
        <xdr:cNvPr id="46" name="Rectangle: Rounded Corners 45">
          <a:extLst>
            <a:ext uri="{FF2B5EF4-FFF2-40B4-BE49-F238E27FC236}">
              <a16:creationId xmlns:a16="http://schemas.microsoft.com/office/drawing/2014/main" id="{18B7B46E-B408-1529-CB56-A1C34F90D995}"/>
            </a:ext>
          </a:extLst>
        </xdr:cNvPr>
        <xdr:cNvSpPr/>
      </xdr:nvSpPr>
      <xdr:spPr>
        <a:xfrm>
          <a:off x="66674" y="3705225"/>
          <a:ext cx="3590925" cy="2333625"/>
        </a:xfrm>
        <a:prstGeom prst="roundRect">
          <a:avLst>
            <a:gd name="adj" fmla="val 994"/>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114299</xdr:colOff>
      <xdr:row>21</xdr:row>
      <xdr:rowOff>76200</xdr:rowOff>
    </xdr:from>
    <xdr:to>
      <xdr:col>5</xdr:col>
      <xdr:colOff>571499</xdr:colOff>
      <xdr:row>31</xdr:row>
      <xdr:rowOff>123825</xdr:rowOff>
    </xdr:to>
    <xdr:graphicFrame macro="">
      <xdr:nvGraphicFramePr>
        <xdr:cNvPr id="48" name="Chart 47">
          <a:extLst>
            <a:ext uri="{FF2B5EF4-FFF2-40B4-BE49-F238E27FC236}">
              <a16:creationId xmlns:a16="http://schemas.microsoft.com/office/drawing/2014/main" id="{EC121C89-F262-4385-BEF5-791852D9A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590550</xdr:colOff>
      <xdr:row>19</xdr:row>
      <xdr:rowOff>21648</xdr:rowOff>
    </xdr:from>
    <xdr:to>
      <xdr:col>4</xdr:col>
      <xdr:colOff>29441</xdr:colOff>
      <xdr:row>21</xdr:row>
      <xdr:rowOff>69273</xdr:rowOff>
    </xdr:to>
    <xdr:sp macro="" textlink="">
      <xdr:nvSpPr>
        <xdr:cNvPr id="50" name="TextBox 49">
          <a:extLst>
            <a:ext uri="{FF2B5EF4-FFF2-40B4-BE49-F238E27FC236}">
              <a16:creationId xmlns:a16="http://schemas.microsoft.com/office/drawing/2014/main" id="{D890E9CA-33DF-9771-D129-CF543709EFD3}"/>
            </a:ext>
          </a:extLst>
        </xdr:cNvPr>
        <xdr:cNvSpPr txBox="1"/>
      </xdr:nvSpPr>
      <xdr:spPr>
        <a:xfrm>
          <a:off x="1200150" y="3641148"/>
          <a:ext cx="1267691"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Qtr</a:t>
          </a:r>
          <a:r>
            <a:rPr lang="en-IN" sz="1400" b="1" cap="none" spc="0" baseline="0">
              <a:ln w="0"/>
              <a:solidFill>
                <a:schemeClr val="bg1"/>
              </a:solidFill>
              <a:effectLst>
                <a:outerShdw blurRad="38100" dist="19050" dir="2700000" algn="tl" rotWithShape="0">
                  <a:schemeClr val="dk1">
                    <a:alpha val="40000"/>
                  </a:schemeClr>
                </a:outerShdw>
              </a:effectLst>
            </a:rPr>
            <a:t> - Wise</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7</xdr:col>
      <xdr:colOff>561975</xdr:colOff>
      <xdr:row>19</xdr:row>
      <xdr:rowOff>31173</xdr:rowOff>
    </xdr:from>
    <xdr:to>
      <xdr:col>10</xdr:col>
      <xdr:colOff>866</xdr:colOff>
      <xdr:row>21</xdr:row>
      <xdr:rowOff>78798</xdr:rowOff>
    </xdr:to>
    <xdr:sp macro="" textlink="">
      <xdr:nvSpPr>
        <xdr:cNvPr id="51" name="TextBox 50">
          <a:extLst>
            <a:ext uri="{FF2B5EF4-FFF2-40B4-BE49-F238E27FC236}">
              <a16:creationId xmlns:a16="http://schemas.microsoft.com/office/drawing/2014/main" id="{A629142C-C054-ECB5-48E6-4CC48921252A}"/>
            </a:ext>
          </a:extLst>
        </xdr:cNvPr>
        <xdr:cNvSpPr txBox="1"/>
      </xdr:nvSpPr>
      <xdr:spPr>
        <a:xfrm>
          <a:off x="4829175" y="3650673"/>
          <a:ext cx="1267691" cy="4286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cap="none" spc="0">
              <a:ln w="0"/>
              <a:solidFill>
                <a:schemeClr val="bg1"/>
              </a:solidFill>
              <a:effectLst>
                <a:outerShdw blurRad="38100" dist="19050" dir="2700000" algn="tl" rotWithShape="0">
                  <a:schemeClr val="dk1">
                    <a:alpha val="40000"/>
                  </a:schemeClr>
                </a:outerShdw>
              </a:effectLst>
            </a:rPr>
            <a:t>Top -</a:t>
          </a:r>
          <a:r>
            <a:rPr lang="en-IN" sz="1400" b="1" cap="none" spc="0" baseline="0">
              <a:ln w="0"/>
              <a:solidFill>
                <a:schemeClr val="bg1"/>
              </a:solidFill>
              <a:effectLst>
                <a:outerShdw blurRad="38100" dist="19050" dir="2700000" algn="tl" rotWithShape="0">
                  <a:schemeClr val="dk1">
                    <a:alpha val="40000"/>
                  </a:schemeClr>
                </a:outerShdw>
              </a:effectLst>
            </a:rPr>
            <a:t> 5</a:t>
          </a:r>
          <a:endParaRPr lang="en-IN"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17</xdr:col>
      <xdr:colOff>361950</xdr:colOff>
      <xdr:row>12</xdr:row>
      <xdr:rowOff>133350</xdr:rowOff>
    </xdr:from>
    <xdr:to>
      <xdr:col>20</xdr:col>
      <xdr:colOff>361950</xdr:colOff>
      <xdr:row>25</xdr:row>
      <xdr:rowOff>180975</xdr:rowOff>
    </xdr:to>
    <mc:AlternateContent xmlns:mc="http://schemas.openxmlformats.org/markup-compatibility/2006">
      <mc:Choice xmlns:a14="http://schemas.microsoft.com/office/drawing/2010/main" Requires="a14">
        <xdr:graphicFrame macro="">
          <xdr:nvGraphicFramePr>
            <xdr:cNvPr id="25" name="City 1">
              <a:extLst>
                <a:ext uri="{FF2B5EF4-FFF2-40B4-BE49-F238E27FC236}">
                  <a16:creationId xmlns:a16="http://schemas.microsoft.com/office/drawing/2014/main" id="{A8E3B54A-8233-4E5C-B6AC-666C41E2E37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725150" y="2419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247650</xdr:colOff>
      <xdr:row>28</xdr:row>
      <xdr:rowOff>91017</xdr:rowOff>
    </xdr:from>
    <xdr:to>
      <xdr:col>4</xdr:col>
      <xdr:colOff>711200</xdr:colOff>
      <xdr:row>41</xdr:row>
      <xdr:rowOff>138642</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F0AF7822-A58B-BB73-2AF8-96AD9569030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343400" y="5467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2.76038900463" createdVersion="8" refreshedVersion="8" minRefreshableVersion="3" recordCount="250" xr:uid="{4F1D517B-75D1-4D82-9572-BC0FE6CA3D01}">
  <cacheSource type="worksheet">
    <worksheetSource ref="A2:Q252" sheet="Orders_Data"/>
  </cacheSource>
  <cacheFields count="17">
    <cacheField name="Order_ID" numFmtId="0">
      <sharedItems/>
    </cacheField>
    <cacheField name="Customer_ID" numFmtId="0">
      <sharedItems/>
    </cacheField>
    <cacheField name="Customer_Name" numFmtId="0">
      <sharedItems count="15">
        <s v="Suresh Pillai"/>
        <s v="Rahul Sharma"/>
        <s v="Shruti Das"/>
        <s v="Priya Mehta"/>
        <s v="Kavita Iyer"/>
        <s v="Vijay Tiwari"/>
        <s v="Deepak Joshi"/>
        <s v="Pooja Nair"/>
        <s v="Karan Patel"/>
        <s v="Meena Rao"/>
        <s v="Nitin Malhotra"/>
        <s v="Sneha Gupta"/>
        <s v="Amit Verma"/>
        <s v="Ravi Kumar"/>
        <s v="Anita Singh"/>
      </sharedItems>
    </cacheField>
    <cacheField name="City" numFmtId="0">
      <sharedItems count="9">
        <s v="Kolkata"/>
        <s v="Delhi"/>
        <s v="Ahmedabad"/>
        <s v="Mumbai"/>
        <s v="Chennai"/>
        <s v="Hyderabad"/>
        <s v="Pune"/>
        <s v="Jaipur"/>
        <s v="Bangalore"/>
      </sharedItems>
    </cacheField>
    <cacheField name="Product_Name" numFmtId="0">
      <sharedItems/>
    </cacheField>
    <cacheField name="Category" numFmtId="0">
      <sharedItems count="7">
        <s v="Electronics"/>
        <s v="Stationery"/>
        <s v="Books"/>
        <s v="Beauty"/>
        <s v="Clothing"/>
        <s v="Footwear"/>
        <s v="Appliance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10" maxValue="53730"/>
    </cacheField>
    <cacheField name="Discount_%" numFmtId="0">
      <sharedItems containsSemiMixedTypes="0" containsString="0" containsNumber="1" containsInteger="1" minValue="0" maxValue="20"/>
    </cacheField>
    <cacheField name="Discount_Amt" numFmtId="0">
      <sharedItems containsSemiMixedTypes="0" containsString="0" containsNumber="1" minValue="0" maxValue="49750"/>
    </cacheField>
    <cacheField name="Total_Amount" numFmtId="0">
      <sharedItems containsSemiMixedTypes="0" containsString="0" containsNumber="1" minValue="88" maxValue="214920"/>
    </cacheField>
    <cacheField name="Order_Date" numFmtId="0">
      <sharedItems/>
    </cacheField>
    <cacheField name="Month" numFmtId="0">
      <sharedItems count="23">
        <s v="Apr"/>
        <s v="Jan"/>
        <s v="Aug"/>
        <s v="May"/>
        <s v="Nov"/>
        <s v="Feb"/>
        <s v="Sep"/>
        <s v="Jun"/>
        <s v="Oct"/>
        <s v="Dec"/>
        <s v="Mar"/>
        <s v="Jul"/>
        <s v="April" u="1"/>
        <s v="January" u="1"/>
        <s v="August" u="1"/>
        <s v="November" u="1"/>
        <s v="February" u="1"/>
        <s v="September" u="1"/>
        <s v="June" u="1"/>
        <s v="October" u="1"/>
        <s v="December" u="1"/>
        <s v="March" u="1"/>
        <s v="July" u="1"/>
      </sharedItems>
    </cacheField>
    <cacheField name="Quarter" numFmtId="0">
      <sharedItems count="4">
        <s v="Q2"/>
        <s v="Q1"/>
        <s v="Q3"/>
        <s v="Q4"/>
      </sharedItems>
    </cacheField>
    <cacheField name="Payment_Method" numFmtId="0">
      <sharedItems count="5">
        <s v="Debit Card"/>
        <s v="Credit Card"/>
        <s v="UPI"/>
        <s v="COD"/>
        <s v="Net Banking"/>
      </sharedItems>
    </cacheField>
    <cacheField name="Order_Status" numFmtId="0">
      <sharedItems count="5">
        <s v="Shipped"/>
        <s v="Delivered"/>
        <s v="Pending"/>
        <s v="Cancelled"/>
        <s v="Returned"/>
      </sharedItems>
    </cacheField>
    <cacheField name="Customer_Rating" numFmtId="0">
      <sharedItems containsString="0" containsBlank="1" containsNumber="1" minValue="1" maxValue="10"/>
    </cacheField>
  </cacheFields>
  <extLst>
    <ext xmlns:x14="http://schemas.microsoft.com/office/spreadsheetml/2009/9/main" uri="{725AE2AE-9491-48be-B2B4-4EB974FC3084}">
      <x14:pivotCacheDefinition pivotCacheId="402140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s v="C011"/>
    <x v="0"/>
    <x v="0"/>
    <s v="Headphones"/>
    <x v="0"/>
    <n v="1"/>
    <n v="6450"/>
    <n v="5"/>
    <n v="322.5"/>
    <n v="6127.5"/>
    <s v="24-04-2024"/>
    <x v="0"/>
    <x v="0"/>
    <x v="0"/>
    <x v="0"/>
    <n v="9"/>
  </r>
  <r>
    <s v="ORD0002"/>
    <s v="C011"/>
    <x v="0"/>
    <x v="0"/>
    <s v="Pen Set"/>
    <x v="1"/>
    <n v="1"/>
    <n v="220"/>
    <n v="0"/>
    <n v="0"/>
    <n v="220"/>
    <s v="16-01-2024"/>
    <x v="1"/>
    <x v="1"/>
    <x v="1"/>
    <x v="1"/>
    <n v="3.8"/>
  </r>
  <r>
    <s v="ORD0003"/>
    <s v="C001"/>
    <x v="1"/>
    <x v="1"/>
    <s v="Pen Set"/>
    <x v="1"/>
    <n v="2"/>
    <n v="240"/>
    <n v="20"/>
    <n v="96"/>
    <n v="384"/>
    <s v="02-08-2024"/>
    <x v="2"/>
    <x v="2"/>
    <x v="0"/>
    <x v="1"/>
    <n v="3.2"/>
  </r>
  <r>
    <s v="ORD0004"/>
    <s v="C014"/>
    <x v="2"/>
    <x v="2"/>
    <s v="Laptop"/>
    <x v="0"/>
    <n v="2"/>
    <n v="51980"/>
    <n v="10"/>
    <n v="10396"/>
    <n v="93564"/>
    <s v="22-05-2024"/>
    <x v="3"/>
    <x v="0"/>
    <x v="0"/>
    <x v="1"/>
    <n v="4.4000000000000004"/>
  </r>
  <r>
    <s v="ORD0005"/>
    <s v="C002"/>
    <x v="3"/>
    <x v="3"/>
    <s v="Tablet"/>
    <x v="0"/>
    <n v="4"/>
    <n v="21930"/>
    <n v="10"/>
    <n v="8772"/>
    <n v="78948"/>
    <s v="05-11-2024"/>
    <x v="4"/>
    <x v="3"/>
    <x v="2"/>
    <x v="2"/>
    <n v="3"/>
  </r>
  <r>
    <s v="ORD0006"/>
    <s v="C012"/>
    <x v="4"/>
    <x v="4"/>
    <s v="Novel Book"/>
    <x v="2"/>
    <n v="5"/>
    <n v="340"/>
    <n v="15"/>
    <n v="255"/>
    <n v="1445"/>
    <s v="10-02-2024"/>
    <x v="5"/>
    <x v="1"/>
    <x v="3"/>
    <x v="1"/>
    <n v="2"/>
  </r>
  <r>
    <s v="ORD0007"/>
    <s v="C015"/>
    <x v="5"/>
    <x v="5"/>
    <s v="Face Cream"/>
    <x v="3"/>
    <n v="5"/>
    <n v="530"/>
    <n v="0"/>
    <n v="0"/>
    <n v="2650"/>
    <s v="24-01-2024"/>
    <x v="1"/>
    <x v="1"/>
    <x v="0"/>
    <x v="2"/>
    <n v="6"/>
  </r>
  <r>
    <s v="ORD0008"/>
    <s v="C002"/>
    <x v="3"/>
    <x v="3"/>
    <s v="Kurta"/>
    <x v="4"/>
    <n v="1"/>
    <n v="1450"/>
    <n v="15"/>
    <n v="217.5"/>
    <n v="1232.5"/>
    <s v="21-11-2024"/>
    <x v="4"/>
    <x v="3"/>
    <x v="2"/>
    <x v="1"/>
    <n v="10"/>
  </r>
  <r>
    <s v="ORD0009"/>
    <s v="C011"/>
    <x v="0"/>
    <x v="0"/>
    <s v="Sneakers"/>
    <x v="5"/>
    <n v="1"/>
    <n v="4440"/>
    <n v="5"/>
    <n v="222"/>
    <n v="4218"/>
    <s v="30-09-2024"/>
    <x v="6"/>
    <x v="2"/>
    <x v="0"/>
    <x v="1"/>
    <n v="6"/>
  </r>
  <r>
    <s v="ORD0010"/>
    <s v="C015"/>
    <x v="5"/>
    <x v="5"/>
    <s v="Pen Set"/>
    <x v="1"/>
    <n v="2"/>
    <n v="240"/>
    <n v="0"/>
    <n v="0"/>
    <n v="480"/>
    <s v="27-04-2024"/>
    <x v="0"/>
    <x v="0"/>
    <x v="1"/>
    <x v="2"/>
    <n v="10"/>
  </r>
  <r>
    <s v="ORD0011"/>
    <s v="C007"/>
    <x v="6"/>
    <x v="6"/>
    <s v="Sneakers"/>
    <x v="5"/>
    <n v="1"/>
    <n v="2840"/>
    <n v="20"/>
    <n v="568"/>
    <n v="2272"/>
    <s v="10-06-2024"/>
    <x v="7"/>
    <x v="0"/>
    <x v="0"/>
    <x v="0"/>
    <n v="10"/>
  </r>
  <r>
    <s v="ORD0012"/>
    <s v="C007"/>
    <x v="6"/>
    <x v="6"/>
    <s v="Novel Book"/>
    <x v="2"/>
    <n v="2"/>
    <n v="380"/>
    <n v="5"/>
    <n v="38"/>
    <n v="722"/>
    <s v="14-10-2024"/>
    <x v="8"/>
    <x v="3"/>
    <x v="3"/>
    <x v="1"/>
    <n v="2"/>
  </r>
  <r>
    <s v="ORD0013"/>
    <s v="C015"/>
    <x v="5"/>
    <x v="5"/>
    <s v="Mixer Grinder"/>
    <x v="6"/>
    <n v="4"/>
    <n v="4450"/>
    <n v="5"/>
    <n v="890"/>
    <n v="16910"/>
    <s v="17-09-2024"/>
    <x v="6"/>
    <x v="2"/>
    <x v="4"/>
    <x v="1"/>
    <n v="8"/>
  </r>
  <r>
    <s v="ORD0014"/>
    <s v="C002"/>
    <x v="3"/>
    <x v="3"/>
    <s v="Smartwatch"/>
    <x v="0"/>
    <n v="2"/>
    <n v="12920"/>
    <n v="15"/>
    <n v="3876"/>
    <n v="21964"/>
    <s v="01-11-2024"/>
    <x v="4"/>
    <x v="3"/>
    <x v="1"/>
    <x v="1"/>
    <n v="10"/>
  </r>
  <r>
    <s v="ORD0015"/>
    <s v="C008"/>
    <x v="7"/>
    <x v="3"/>
    <s v="Notebook Set"/>
    <x v="1"/>
    <n v="3"/>
    <n v="390"/>
    <n v="0"/>
    <n v="0"/>
    <n v="1170"/>
    <s v="14-12-2024"/>
    <x v="9"/>
    <x v="3"/>
    <x v="1"/>
    <x v="0"/>
    <n v="9"/>
  </r>
  <r>
    <s v="ORD0016"/>
    <s v="C009"/>
    <x v="8"/>
    <x v="7"/>
    <s v="Sneakers"/>
    <x v="5"/>
    <n v="3"/>
    <n v="2450"/>
    <n v="15"/>
    <n v="1102.5"/>
    <n v="6247.5"/>
    <s v="21-03-2024"/>
    <x v="10"/>
    <x v="1"/>
    <x v="4"/>
    <x v="1"/>
    <n v="2"/>
  </r>
  <r>
    <s v="ORD0017"/>
    <s v="C012"/>
    <x v="4"/>
    <x v="4"/>
    <s v="Sneakers"/>
    <x v="5"/>
    <n v="5"/>
    <n v="5050"/>
    <n v="20"/>
    <n v="5050"/>
    <n v="20200"/>
    <s v="24-02-2024"/>
    <x v="5"/>
    <x v="1"/>
    <x v="2"/>
    <x v="2"/>
    <n v="7"/>
  </r>
  <r>
    <s v="ORD0018"/>
    <s v="C009"/>
    <x v="8"/>
    <x v="7"/>
    <s v="Air Fryer"/>
    <x v="6"/>
    <n v="2"/>
    <n v="6070"/>
    <n v="5"/>
    <n v="607"/>
    <n v="11533"/>
    <s v="03-10-2024"/>
    <x v="8"/>
    <x v="3"/>
    <x v="3"/>
    <x v="3"/>
    <n v="10"/>
  </r>
  <r>
    <s v="ORD0019"/>
    <s v="C010"/>
    <x v="9"/>
    <x v="8"/>
    <s v="Sandals"/>
    <x v="5"/>
    <n v="4"/>
    <n v="530"/>
    <n v="10"/>
    <n v="212"/>
    <n v="1908"/>
    <s v="06-06-2024"/>
    <x v="7"/>
    <x v="0"/>
    <x v="0"/>
    <x v="1"/>
    <n v="1"/>
  </r>
  <r>
    <s v="ORD0020"/>
    <s v="C002"/>
    <x v="3"/>
    <x v="3"/>
    <s v="Tablet"/>
    <x v="0"/>
    <n v="4"/>
    <n v="36320"/>
    <n v="20"/>
    <n v="29056"/>
    <n v="116224"/>
    <s v="05-03-2024"/>
    <x v="10"/>
    <x v="1"/>
    <x v="0"/>
    <x v="0"/>
    <n v="3"/>
  </r>
  <r>
    <s v="ORD0021"/>
    <s v="C009"/>
    <x v="8"/>
    <x v="7"/>
    <s v="T-Shirt"/>
    <x v="4"/>
    <n v="3"/>
    <n v="1290"/>
    <n v="20"/>
    <n v="774"/>
    <n v="3096"/>
    <s v="04-08-2024"/>
    <x v="2"/>
    <x v="2"/>
    <x v="0"/>
    <x v="3"/>
    <n v="7"/>
  </r>
  <r>
    <s v="ORD0022"/>
    <s v="C013"/>
    <x v="10"/>
    <x v="1"/>
    <s v="Jeans"/>
    <x v="4"/>
    <n v="3"/>
    <n v="2000"/>
    <n v="10"/>
    <n v="600"/>
    <n v="5400"/>
    <s v="12-08-2024"/>
    <x v="2"/>
    <x v="2"/>
    <x v="3"/>
    <x v="1"/>
    <n v="8"/>
  </r>
  <r>
    <s v="ORD0023"/>
    <s v="C002"/>
    <x v="3"/>
    <x v="3"/>
    <s v="Sandals"/>
    <x v="5"/>
    <n v="1"/>
    <n v="1380"/>
    <n v="5"/>
    <n v="69"/>
    <n v="1311"/>
    <s v="28-10-2024"/>
    <x v="8"/>
    <x v="3"/>
    <x v="0"/>
    <x v="1"/>
    <n v="9"/>
  </r>
  <r>
    <s v="ORD0024"/>
    <s v="C001"/>
    <x v="1"/>
    <x v="1"/>
    <s v="Kurta"/>
    <x v="4"/>
    <n v="1"/>
    <n v="2340"/>
    <n v="10"/>
    <n v="234"/>
    <n v="2106"/>
    <s v="06-02-2024"/>
    <x v="5"/>
    <x v="1"/>
    <x v="3"/>
    <x v="1"/>
    <n v="5"/>
  </r>
  <r>
    <s v="ORD0025"/>
    <s v="C004"/>
    <x v="11"/>
    <x v="5"/>
    <s v="Pen Set"/>
    <x v="1"/>
    <n v="2"/>
    <n v="240"/>
    <n v="20"/>
    <n v="96"/>
    <n v="384"/>
    <s v="22-10-2024"/>
    <x v="8"/>
    <x v="3"/>
    <x v="4"/>
    <x v="1"/>
    <n v="1"/>
  </r>
  <r>
    <s v="ORD0026"/>
    <s v="C007"/>
    <x v="6"/>
    <x v="6"/>
    <s v="Jeans"/>
    <x v="4"/>
    <n v="1"/>
    <n v="1240"/>
    <n v="15"/>
    <n v="186"/>
    <n v="1054"/>
    <s v="30-06-2024"/>
    <x v="7"/>
    <x v="0"/>
    <x v="4"/>
    <x v="1"/>
    <n v="2"/>
  </r>
  <r>
    <s v="ORD0027"/>
    <s v="C001"/>
    <x v="1"/>
    <x v="1"/>
    <s v="Headphones"/>
    <x v="0"/>
    <n v="1"/>
    <n v="4420"/>
    <n v="10"/>
    <n v="442"/>
    <n v="3978"/>
    <s v="25-02-2024"/>
    <x v="5"/>
    <x v="1"/>
    <x v="0"/>
    <x v="1"/>
    <n v="3"/>
  </r>
  <r>
    <s v="ORD0028"/>
    <s v="C003"/>
    <x v="12"/>
    <x v="8"/>
    <s v="Perfume"/>
    <x v="3"/>
    <n v="2"/>
    <n v="1840"/>
    <n v="5"/>
    <n v="184"/>
    <n v="3496"/>
    <s v="08-02-2024"/>
    <x v="5"/>
    <x v="1"/>
    <x v="4"/>
    <x v="2"/>
    <n v="1"/>
  </r>
  <r>
    <s v="ORD0029"/>
    <s v="C014"/>
    <x v="2"/>
    <x v="2"/>
    <s v="Pen Set"/>
    <x v="1"/>
    <n v="1"/>
    <n v="110"/>
    <n v="20"/>
    <n v="22"/>
    <n v="88"/>
    <s v="08-01-2024"/>
    <x v="1"/>
    <x v="1"/>
    <x v="1"/>
    <x v="3"/>
    <n v="1"/>
  </r>
  <r>
    <s v="ORD0030"/>
    <s v="C014"/>
    <x v="2"/>
    <x v="2"/>
    <s v="Kurta"/>
    <x v="4"/>
    <n v="2"/>
    <n v="1490"/>
    <n v="15"/>
    <n v="447"/>
    <n v="2533"/>
    <s v="19-04-2024"/>
    <x v="0"/>
    <x v="0"/>
    <x v="4"/>
    <x v="3"/>
    <n v="2"/>
  </r>
  <r>
    <s v="ORD0031"/>
    <s v="C003"/>
    <x v="12"/>
    <x v="8"/>
    <s v="Shampoo"/>
    <x v="3"/>
    <n v="1"/>
    <n v="790"/>
    <n v="10"/>
    <n v="79"/>
    <n v="711"/>
    <s v="20-08-2024"/>
    <x v="2"/>
    <x v="2"/>
    <x v="2"/>
    <x v="1"/>
    <n v="9"/>
  </r>
  <r>
    <s v="ORD0032"/>
    <s v="C013"/>
    <x v="10"/>
    <x v="1"/>
    <s v="Pen Set"/>
    <x v="1"/>
    <n v="4"/>
    <n v="130"/>
    <n v="10"/>
    <n v="52"/>
    <n v="468"/>
    <s v="21-04-2024"/>
    <x v="0"/>
    <x v="0"/>
    <x v="1"/>
    <x v="0"/>
    <n v="4"/>
  </r>
  <r>
    <s v="ORD0033"/>
    <s v="C009"/>
    <x v="8"/>
    <x v="7"/>
    <s v="Mobile Phone"/>
    <x v="0"/>
    <n v="3"/>
    <n v="16140"/>
    <n v="20"/>
    <n v="9684"/>
    <n v="38736"/>
    <s v="01-09-2024"/>
    <x v="6"/>
    <x v="2"/>
    <x v="3"/>
    <x v="3"/>
    <n v="5"/>
  </r>
  <r>
    <s v="ORD0034"/>
    <s v="C009"/>
    <x v="8"/>
    <x v="7"/>
    <s v="T-Shirt"/>
    <x v="4"/>
    <n v="1"/>
    <n v="1940"/>
    <n v="0"/>
    <n v="0"/>
    <n v="1940"/>
    <s v="05-04-2024"/>
    <x v="0"/>
    <x v="0"/>
    <x v="1"/>
    <x v="0"/>
    <n v="8"/>
  </r>
  <r>
    <s v="ORD0035"/>
    <s v="C011"/>
    <x v="0"/>
    <x v="0"/>
    <s v="Kurta"/>
    <x v="4"/>
    <n v="4"/>
    <n v="1000"/>
    <n v="20"/>
    <n v="800"/>
    <n v="3200"/>
    <s v="06-05-2024"/>
    <x v="3"/>
    <x v="0"/>
    <x v="3"/>
    <x v="0"/>
    <n v="5"/>
  </r>
  <r>
    <s v="ORD0036"/>
    <s v="C010"/>
    <x v="9"/>
    <x v="8"/>
    <s v="Tablet"/>
    <x v="0"/>
    <n v="4"/>
    <n v="33150"/>
    <n v="20"/>
    <n v="26520"/>
    <n v="106080"/>
    <s v="24-09-2024"/>
    <x v="6"/>
    <x v="2"/>
    <x v="2"/>
    <x v="3"/>
    <n v="9"/>
  </r>
  <r>
    <s v="ORD0037"/>
    <s v="C004"/>
    <x v="11"/>
    <x v="5"/>
    <s v="Sandals"/>
    <x v="5"/>
    <n v="2"/>
    <n v="900"/>
    <n v="5"/>
    <n v="90"/>
    <n v="1710"/>
    <s v="09-12-2024"/>
    <x v="9"/>
    <x v="3"/>
    <x v="2"/>
    <x v="1"/>
    <n v="6"/>
  </r>
  <r>
    <s v="ORD0038"/>
    <s v="C015"/>
    <x v="5"/>
    <x v="5"/>
    <s v="Tablet"/>
    <x v="0"/>
    <n v="1"/>
    <n v="29170"/>
    <n v="20"/>
    <n v="5834"/>
    <n v="23336"/>
    <s v="21-02-2024"/>
    <x v="5"/>
    <x v="1"/>
    <x v="1"/>
    <x v="1"/>
    <n v="6"/>
  </r>
  <r>
    <s v="ORD0039"/>
    <s v="C003"/>
    <x v="12"/>
    <x v="8"/>
    <s v="Face Cream"/>
    <x v="3"/>
    <n v="1"/>
    <n v="1360"/>
    <n v="10"/>
    <n v="136"/>
    <n v="1224"/>
    <s v="25-05-2024"/>
    <x v="3"/>
    <x v="0"/>
    <x v="0"/>
    <x v="1"/>
    <n v="10"/>
  </r>
  <r>
    <s v="ORD0040"/>
    <s v="C005"/>
    <x v="13"/>
    <x v="4"/>
    <s v="Air Fryer"/>
    <x v="6"/>
    <n v="5"/>
    <n v="5050"/>
    <n v="20"/>
    <n v="5050"/>
    <n v="20200"/>
    <s v="02-06-2024"/>
    <x v="7"/>
    <x v="0"/>
    <x v="1"/>
    <x v="3"/>
    <n v="5"/>
  </r>
  <r>
    <s v="ORD0041"/>
    <s v="C003"/>
    <x v="12"/>
    <x v="8"/>
    <s v="Sneakers"/>
    <x v="5"/>
    <n v="1"/>
    <n v="5560"/>
    <n v="20"/>
    <n v="1112"/>
    <n v="4448"/>
    <s v="20-03-2024"/>
    <x v="10"/>
    <x v="1"/>
    <x v="2"/>
    <x v="1"/>
    <n v="9"/>
  </r>
  <r>
    <s v="ORD0042"/>
    <s v="C006"/>
    <x v="14"/>
    <x v="1"/>
    <s v="Jeans"/>
    <x v="4"/>
    <n v="3"/>
    <n v="2260"/>
    <n v="10"/>
    <n v="678"/>
    <n v="6102"/>
    <s v="27-01-2024"/>
    <x v="1"/>
    <x v="1"/>
    <x v="1"/>
    <x v="0"/>
    <n v="1"/>
  </r>
  <r>
    <s v="ORD0043"/>
    <s v="C014"/>
    <x v="2"/>
    <x v="2"/>
    <s v="Sneakers"/>
    <x v="5"/>
    <n v="1"/>
    <n v="2010"/>
    <n v="5"/>
    <n v="100.5"/>
    <n v="1909.5"/>
    <s v="22-11-2024"/>
    <x v="4"/>
    <x v="3"/>
    <x v="2"/>
    <x v="1"/>
    <n v="1"/>
  </r>
  <r>
    <s v="ORD0044"/>
    <s v="C012"/>
    <x v="4"/>
    <x v="4"/>
    <s v="Perfume"/>
    <x v="3"/>
    <n v="5"/>
    <n v="1030"/>
    <n v="0"/>
    <n v="0"/>
    <n v="5150"/>
    <s v="19-12-2024"/>
    <x v="9"/>
    <x v="3"/>
    <x v="0"/>
    <x v="1"/>
    <n v="1"/>
  </r>
  <r>
    <s v="ORD0045"/>
    <s v="C010"/>
    <x v="9"/>
    <x v="8"/>
    <s v="Pen Set"/>
    <x v="1"/>
    <n v="2"/>
    <n v="190"/>
    <n v="0"/>
    <n v="0"/>
    <n v="380"/>
    <s v="06-06-2024"/>
    <x v="7"/>
    <x v="0"/>
    <x v="2"/>
    <x v="3"/>
    <n v="5"/>
  </r>
  <r>
    <s v="ORD0046"/>
    <s v="C013"/>
    <x v="10"/>
    <x v="1"/>
    <s v="Mobile Phone"/>
    <x v="0"/>
    <n v="3"/>
    <n v="19200"/>
    <n v="5"/>
    <n v="2880"/>
    <n v="54720"/>
    <s v="07-12-2024"/>
    <x v="9"/>
    <x v="3"/>
    <x v="1"/>
    <x v="1"/>
    <n v="8"/>
  </r>
  <r>
    <s v="ORD0047"/>
    <s v="C014"/>
    <x v="2"/>
    <x v="2"/>
    <s v="Perfume"/>
    <x v="3"/>
    <n v="5"/>
    <n v="3250"/>
    <n v="5"/>
    <n v="812.5"/>
    <n v="15437.5"/>
    <s v="24-03-2024"/>
    <x v="10"/>
    <x v="1"/>
    <x v="0"/>
    <x v="3"/>
    <n v="9"/>
  </r>
  <r>
    <s v="ORD0048"/>
    <s v="C001"/>
    <x v="1"/>
    <x v="1"/>
    <s v="T-Shirt"/>
    <x v="4"/>
    <n v="3"/>
    <n v="1670"/>
    <n v="15"/>
    <n v="751.5"/>
    <n v="4258.5"/>
    <s v="08-12-2024"/>
    <x v="9"/>
    <x v="3"/>
    <x v="0"/>
    <x v="1"/>
    <n v="3"/>
  </r>
  <r>
    <s v="ORD0049"/>
    <s v="C002"/>
    <x v="3"/>
    <x v="3"/>
    <s v="Shampoo"/>
    <x v="3"/>
    <n v="1"/>
    <n v="720"/>
    <n v="5"/>
    <n v="36"/>
    <n v="684"/>
    <s v="12-04-2024"/>
    <x v="0"/>
    <x v="0"/>
    <x v="4"/>
    <x v="1"/>
    <n v="4.5999999999999996"/>
  </r>
  <r>
    <s v="ORD0050"/>
    <s v="C014"/>
    <x v="2"/>
    <x v="2"/>
    <s v="Kurta"/>
    <x v="4"/>
    <n v="2"/>
    <n v="840"/>
    <n v="5"/>
    <n v="84"/>
    <n v="1596"/>
    <s v="23-07-2024"/>
    <x v="11"/>
    <x v="2"/>
    <x v="2"/>
    <x v="1"/>
    <n v="2.7"/>
  </r>
  <r>
    <s v="ORD0051"/>
    <s v="C013"/>
    <x v="10"/>
    <x v="1"/>
    <s v="Sneakers"/>
    <x v="5"/>
    <n v="3"/>
    <n v="4570"/>
    <n v="15"/>
    <n v="2056.5"/>
    <n v="11653.5"/>
    <s v="13-12-2024"/>
    <x v="9"/>
    <x v="3"/>
    <x v="3"/>
    <x v="1"/>
    <n v="2.6"/>
  </r>
  <r>
    <s v="ORD0052"/>
    <s v="C015"/>
    <x v="5"/>
    <x v="5"/>
    <s v="Sneakers"/>
    <x v="5"/>
    <n v="2"/>
    <n v="4320"/>
    <n v="10"/>
    <n v="864"/>
    <n v="7776"/>
    <s v="20-01-2024"/>
    <x v="1"/>
    <x v="1"/>
    <x v="1"/>
    <x v="0"/>
    <m/>
  </r>
  <r>
    <s v="ORD0053"/>
    <s v="C006"/>
    <x v="14"/>
    <x v="1"/>
    <s v="Sandals"/>
    <x v="5"/>
    <n v="4"/>
    <n v="1410"/>
    <n v="20"/>
    <n v="1128"/>
    <n v="4512"/>
    <s v="29-02-2024"/>
    <x v="5"/>
    <x v="1"/>
    <x v="4"/>
    <x v="3"/>
    <m/>
  </r>
  <r>
    <s v="ORD0054"/>
    <s v="C004"/>
    <x v="11"/>
    <x v="5"/>
    <s v="Sneakers"/>
    <x v="5"/>
    <n v="1"/>
    <n v="4840"/>
    <n v="0"/>
    <n v="0"/>
    <n v="4840"/>
    <s v="23-09-2024"/>
    <x v="6"/>
    <x v="2"/>
    <x v="3"/>
    <x v="0"/>
    <m/>
  </r>
  <r>
    <s v="ORD0055"/>
    <s v="C012"/>
    <x v="4"/>
    <x v="4"/>
    <s v="Jeans"/>
    <x v="4"/>
    <n v="3"/>
    <n v="2080"/>
    <n v="10"/>
    <n v="624"/>
    <n v="5616"/>
    <s v="15-11-2024"/>
    <x v="4"/>
    <x v="3"/>
    <x v="2"/>
    <x v="0"/>
    <m/>
  </r>
  <r>
    <s v="ORD0056"/>
    <s v="C002"/>
    <x v="3"/>
    <x v="3"/>
    <s v="Formal Shoes"/>
    <x v="5"/>
    <n v="5"/>
    <n v="2580"/>
    <n v="15"/>
    <n v="1935"/>
    <n v="10965"/>
    <s v="16-06-2024"/>
    <x v="7"/>
    <x v="0"/>
    <x v="4"/>
    <x v="0"/>
    <m/>
  </r>
  <r>
    <s v="ORD0057"/>
    <s v="C009"/>
    <x v="8"/>
    <x v="7"/>
    <s v="Smartwatch"/>
    <x v="0"/>
    <n v="2"/>
    <n v="9200"/>
    <n v="15"/>
    <n v="2760"/>
    <n v="15640"/>
    <s v="12-12-2024"/>
    <x v="9"/>
    <x v="3"/>
    <x v="0"/>
    <x v="0"/>
    <m/>
  </r>
  <r>
    <s v="ORD0058"/>
    <s v="C005"/>
    <x v="13"/>
    <x v="4"/>
    <s v="Shampoo"/>
    <x v="3"/>
    <n v="5"/>
    <n v="700"/>
    <n v="10"/>
    <n v="350"/>
    <n v="3150"/>
    <s v="26-05-2024"/>
    <x v="3"/>
    <x v="0"/>
    <x v="0"/>
    <x v="1"/>
    <n v="3.9"/>
  </r>
  <r>
    <s v="ORD0059"/>
    <s v="C011"/>
    <x v="0"/>
    <x v="0"/>
    <s v="Sandals"/>
    <x v="5"/>
    <n v="4"/>
    <n v="1160"/>
    <n v="5"/>
    <n v="232"/>
    <n v="4408"/>
    <s v="18-09-2024"/>
    <x v="6"/>
    <x v="2"/>
    <x v="4"/>
    <x v="2"/>
    <m/>
  </r>
  <r>
    <s v="ORD0060"/>
    <s v="C013"/>
    <x v="10"/>
    <x v="1"/>
    <s v="T-Shirt"/>
    <x v="4"/>
    <n v="1"/>
    <n v="930"/>
    <n v="20"/>
    <n v="186"/>
    <n v="744"/>
    <s v="20-06-2024"/>
    <x v="7"/>
    <x v="0"/>
    <x v="1"/>
    <x v="2"/>
    <m/>
  </r>
  <r>
    <s v="ORD0061"/>
    <s v="C013"/>
    <x v="10"/>
    <x v="1"/>
    <s v="Kurta"/>
    <x v="4"/>
    <n v="3"/>
    <n v="1180"/>
    <n v="5"/>
    <n v="177"/>
    <n v="3363"/>
    <s v="16-03-2024"/>
    <x v="10"/>
    <x v="1"/>
    <x v="1"/>
    <x v="1"/>
    <n v="5"/>
  </r>
  <r>
    <s v="ORD0062"/>
    <s v="C010"/>
    <x v="9"/>
    <x v="8"/>
    <s v="Tablet"/>
    <x v="0"/>
    <n v="4"/>
    <n v="28290"/>
    <n v="20"/>
    <n v="22632"/>
    <n v="90528"/>
    <s v="09-04-2024"/>
    <x v="0"/>
    <x v="0"/>
    <x v="4"/>
    <x v="1"/>
    <n v="3.1"/>
  </r>
  <r>
    <s v="ORD0063"/>
    <s v="C011"/>
    <x v="0"/>
    <x v="0"/>
    <s v="Laptop"/>
    <x v="0"/>
    <n v="1"/>
    <n v="52780"/>
    <n v="5"/>
    <n v="2639"/>
    <n v="50141"/>
    <s v="31-03-2024"/>
    <x v="10"/>
    <x v="1"/>
    <x v="3"/>
    <x v="1"/>
    <n v="3.9"/>
  </r>
  <r>
    <s v="ORD0064"/>
    <s v="C015"/>
    <x v="5"/>
    <x v="5"/>
    <s v="Headphones"/>
    <x v="0"/>
    <n v="4"/>
    <n v="2800"/>
    <n v="15"/>
    <n v="1680"/>
    <n v="9520"/>
    <s v="07-12-2024"/>
    <x v="9"/>
    <x v="3"/>
    <x v="3"/>
    <x v="4"/>
    <m/>
  </r>
  <r>
    <s v="ORD0065"/>
    <s v="C010"/>
    <x v="9"/>
    <x v="8"/>
    <s v="Sandals"/>
    <x v="5"/>
    <n v="4"/>
    <n v="1420"/>
    <n v="20"/>
    <n v="1136"/>
    <n v="4544"/>
    <s v="06-08-2024"/>
    <x v="2"/>
    <x v="2"/>
    <x v="3"/>
    <x v="1"/>
    <n v="2.9"/>
  </r>
  <r>
    <s v="ORD0066"/>
    <s v="C014"/>
    <x v="2"/>
    <x v="2"/>
    <s v="Textbook"/>
    <x v="2"/>
    <n v="4"/>
    <n v="680"/>
    <n v="5"/>
    <n v="136"/>
    <n v="2584"/>
    <s v="22-11-2024"/>
    <x v="4"/>
    <x v="3"/>
    <x v="2"/>
    <x v="2"/>
    <m/>
  </r>
  <r>
    <s v="ORD0067"/>
    <s v="C009"/>
    <x v="8"/>
    <x v="7"/>
    <s v="Textbook"/>
    <x v="2"/>
    <n v="2"/>
    <n v="690"/>
    <n v="0"/>
    <n v="0"/>
    <n v="1380"/>
    <s v="26-05-2024"/>
    <x v="3"/>
    <x v="0"/>
    <x v="0"/>
    <x v="1"/>
    <n v="3.3"/>
  </r>
  <r>
    <s v="ORD0068"/>
    <s v="C009"/>
    <x v="8"/>
    <x v="7"/>
    <s v="Tablet"/>
    <x v="0"/>
    <n v="2"/>
    <n v="23020"/>
    <n v="15"/>
    <n v="6906"/>
    <n v="39134"/>
    <s v="21-12-2024"/>
    <x v="9"/>
    <x v="3"/>
    <x v="0"/>
    <x v="0"/>
    <m/>
  </r>
  <r>
    <s v="ORD0069"/>
    <s v="C002"/>
    <x v="3"/>
    <x v="3"/>
    <s v="Perfume"/>
    <x v="3"/>
    <n v="4"/>
    <n v="1990"/>
    <n v="15"/>
    <n v="1194"/>
    <n v="6766"/>
    <s v="31-07-2024"/>
    <x v="11"/>
    <x v="2"/>
    <x v="1"/>
    <x v="1"/>
    <n v="3.6"/>
  </r>
  <r>
    <s v="ORD0070"/>
    <s v="C015"/>
    <x v="5"/>
    <x v="5"/>
    <s v="Mixer Grinder"/>
    <x v="6"/>
    <n v="1"/>
    <n v="6430"/>
    <n v="20"/>
    <n v="1286"/>
    <n v="5144"/>
    <s v="13-07-2024"/>
    <x v="11"/>
    <x v="2"/>
    <x v="4"/>
    <x v="1"/>
    <n v="3.4"/>
  </r>
  <r>
    <s v="ORD0071"/>
    <s v="C013"/>
    <x v="10"/>
    <x v="1"/>
    <s v="Shampoo"/>
    <x v="3"/>
    <n v="4"/>
    <n v="520"/>
    <n v="20"/>
    <n v="416"/>
    <n v="1664"/>
    <s v="04-11-2024"/>
    <x v="4"/>
    <x v="3"/>
    <x v="0"/>
    <x v="1"/>
    <n v="3.2"/>
  </r>
  <r>
    <s v="ORD0072"/>
    <s v="C008"/>
    <x v="7"/>
    <x v="3"/>
    <s v="Laptop"/>
    <x v="0"/>
    <n v="4"/>
    <n v="48360"/>
    <n v="15"/>
    <n v="29016"/>
    <n v="164424"/>
    <s v="25-03-2024"/>
    <x v="10"/>
    <x v="1"/>
    <x v="4"/>
    <x v="3"/>
    <m/>
  </r>
  <r>
    <s v="ORD0073"/>
    <s v="C010"/>
    <x v="9"/>
    <x v="8"/>
    <s v="Pen Set"/>
    <x v="1"/>
    <n v="1"/>
    <n v="280"/>
    <n v="20"/>
    <n v="56"/>
    <n v="224"/>
    <s v="15-10-2024"/>
    <x v="8"/>
    <x v="3"/>
    <x v="1"/>
    <x v="1"/>
    <n v="3.6"/>
  </r>
  <r>
    <s v="ORD0074"/>
    <s v="C014"/>
    <x v="2"/>
    <x v="2"/>
    <s v="Novel Book"/>
    <x v="2"/>
    <n v="2"/>
    <n v="320"/>
    <n v="15"/>
    <n v="96"/>
    <n v="544"/>
    <s v="16-06-2024"/>
    <x v="7"/>
    <x v="0"/>
    <x v="0"/>
    <x v="1"/>
    <n v="3.3"/>
  </r>
  <r>
    <s v="ORD0075"/>
    <s v="C015"/>
    <x v="5"/>
    <x v="5"/>
    <s v="Shampoo"/>
    <x v="3"/>
    <n v="3"/>
    <n v="650"/>
    <n v="15"/>
    <n v="292.5"/>
    <n v="1657.5"/>
    <s v="09-05-2024"/>
    <x v="3"/>
    <x v="0"/>
    <x v="1"/>
    <x v="1"/>
    <n v="4.4000000000000004"/>
  </r>
  <r>
    <s v="ORD0076"/>
    <s v="C001"/>
    <x v="1"/>
    <x v="1"/>
    <s v="Face Cream"/>
    <x v="3"/>
    <n v="2"/>
    <n v="1080"/>
    <n v="0"/>
    <n v="0"/>
    <n v="2160"/>
    <s v="16-01-2024"/>
    <x v="1"/>
    <x v="1"/>
    <x v="0"/>
    <x v="1"/>
    <n v="2.6"/>
  </r>
  <r>
    <s v="ORD0077"/>
    <s v="C003"/>
    <x v="12"/>
    <x v="8"/>
    <s v="Kurta"/>
    <x v="4"/>
    <n v="2"/>
    <n v="1610"/>
    <n v="0"/>
    <n v="0"/>
    <n v="3220"/>
    <s v="15-10-2024"/>
    <x v="8"/>
    <x v="3"/>
    <x v="0"/>
    <x v="1"/>
    <n v="3.1"/>
  </r>
  <r>
    <s v="ORD0078"/>
    <s v="C006"/>
    <x v="14"/>
    <x v="1"/>
    <s v="T-Shirt"/>
    <x v="4"/>
    <n v="5"/>
    <n v="1410"/>
    <n v="0"/>
    <n v="0"/>
    <n v="7050"/>
    <s v="24-03-2024"/>
    <x v="10"/>
    <x v="1"/>
    <x v="2"/>
    <x v="1"/>
    <n v="2.6"/>
  </r>
  <r>
    <s v="ORD0079"/>
    <s v="C005"/>
    <x v="13"/>
    <x v="4"/>
    <s v="Mixer Grinder"/>
    <x v="6"/>
    <n v="4"/>
    <n v="4590"/>
    <n v="5"/>
    <n v="918"/>
    <n v="17442"/>
    <s v="08-02-2024"/>
    <x v="5"/>
    <x v="1"/>
    <x v="3"/>
    <x v="0"/>
    <m/>
  </r>
  <r>
    <s v="ORD0080"/>
    <s v="C011"/>
    <x v="0"/>
    <x v="0"/>
    <s v="Kurta"/>
    <x v="4"/>
    <n v="1"/>
    <n v="1990"/>
    <n v="10"/>
    <n v="199"/>
    <n v="1791"/>
    <s v="16-12-2024"/>
    <x v="9"/>
    <x v="3"/>
    <x v="3"/>
    <x v="2"/>
    <m/>
  </r>
  <r>
    <s v="ORD0081"/>
    <s v="C013"/>
    <x v="10"/>
    <x v="1"/>
    <s v="Mixer Grinder"/>
    <x v="6"/>
    <n v="1"/>
    <n v="4390"/>
    <n v="15"/>
    <n v="658.5"/>
    <n v="3731.5"/>
    <s v="04-12-2024"/>
    <x v="9"/>
    <x v="3"/>
    <x v="2"/>
    <x v="1"/>
    <n v="4.0999999999999996"/>
  </r>
  <r>
    <s v="ORD0082"/>
    <s v="C001"/>
    <x v="1"/>
    <x v="1"/>
    <s v="Perfume"/>
    <x v="3"/>
    <n v="4"/>
    <n v="1320"/>
    <n v="10"/>
    <n v="528"/>
    <n v="4752"/>
    <s v="21-11-2024"/>
    <x v="4"/>
    <x v="3"/>
    <x v="4"/>
    <x v="0"/>
    <m/>
  </r>
  <r>
    <s v="ORD0083"/>
    <s v="C007"/>
    <x v="6"/>
    <x v="6"/>
    <s v="T-Shirt"/>
    <x v="4"/>
    <n v="5"/>
    <n v="1950"/>
    <n v="10"/>
    <n v="975"/>
    <n v="8775"/>
    <s v="11-11-2024"/>
    <x v="4"/>
    <x v="3"/>
    <x v="3"/>
    <x v="2"/>
    <m/>
  </r>
  <r>
    <s v="ORD0084"/>
    <s v="C008"/>
    <x v="7"/>
    <x v="3"/>
    <s v="Perfume"/>
    <x v="3"/>
    <n v="5"/>
    <n v="1810"/>
    <n v="5"/>
    <n v="452.5"/>
    <n v="8597.5"/>
    <s v="14-02-2024"/>
    <x v="5"/>
    <x v="1"/>
    <x v="2"/>
    <x v="3"/>
    <m/>
  </r>
  <r>
    <s v="ORD0085"/>
    <s v="C004"/>
    <x v="11"/>
    <x v="5"/>
    <s v="Novel Book"/>
    <x v="2"/>
    <n v="5"/>
    <n v="480"/>
    <n v="15"/>
    <n v="360"/>
    <n v="2040"/>
    <s v="21-06-2024"/>
    <x v="7"/>
    <x v="0"/>
    <x v="1"/>
    <x v="1"/>
    <n v="3.3"/>
  </r>
  <r>
    <s v="ORD0086"/>
    <s v="C008"/>
    <x v="7"/>
    <x v="3"/>
    <s v="Jeans"/>
    <x v="4"/>
    <n v="3"/>
    <n v="2990"/>
    <n v="10"/>
    <n v="897"/>
    <n v="8073"/>
    <s v="23-05-2024"/>
    <x v="3"/>
    <x v="0"/>
    <x v="3"/>
    <x v="0"/>
    <m/>
  </r>
  <r>
    <s v="ORD0087"/>
    <s v="C005"/>
    <x v="13"/>
    <x v="4"/>
    <s v="Pen Set"/>
    <x v="1"/>
    <n v="1"/>
    <n v="200"/>
    <n v="5"/>
    <n v="10"/>
    <n v="190"/>
    <s v="13-02-2024"/>
    <x v="5"/>
    <x v="1"/>
    <x v="0"/>
    <x v="0"/>
    <m/>
  </r>
  <r>
    <s v="ORD0088"/>
    <s v="C008"/>
    <x v="7"/>
    <x v="3"/>
    <s v="Pen Set"/>
    <x v="1"/>
    <n v="2"/>
    <n v="240"/>
    <n v="15"/>
    <n v="72"/>
    <n v="408"/>
    <s v="17-08-2024"/>
    <x v="2"/>
    <x v="2"/>
    <x v="1"/>
    <x v="1"/>
    <n v="3.1"/>
  </r>
  <r>
    <s v="ORD0089"/>
    <s v="C012"/>
    <x v="4"/>
    <x v="4"/>
    <s v="Kurta"/>
    <x v="4"/>
    <n v="3"/>
    <n v="1930"/>
    <n v="10"/>
    <n v="579"/>
    <n v="5211"/>
    <s v="30-08-2024"/>
    <x v="2"/>
    <x v="2"/>
    <x v="3"/>
    <x v="1"/>
    <n v="3.6"/>
  </r>
  <r>
    <s v="ORD0090"/>
    <s v="C012"/>
    <x v="4"/>
    <x v="4"/>
    <s v="Pen Set"/>
    <x v="1"/>
    <n v="3"/>
    <n v="170"/>
    <n v="15"/>
    <n v="76.5"/>
    <n v="433.5"/>
    <s v="18-05-2024"/>
    <x v="3"/>
    <x v="0"/>
    <x v="2"/>
    <x v="1"/>
    <n v="2.8"/>
  </r>
  <r>
    <s v="ORD0091"/>
    <s v="C004"/>
    <x v="11"/>
    <x v="5"/>
    <s v="Sandals"/>
    <x v="5"/>
    <n v="1"/>
    <n v="1610"/>
    <n v="5"/>
    <n v="80.5"/>
    <n v="1529.5"/>
    <s v="08-04-2024"/>
    <x v="0"/>
    <x v="0"/>
    <x v="0"/>
    <x v="0"/>
    <m/>
  </r>
  <r>
    <s v="ORD0092"/>
    <s v="C005"/>
    <x v="13"/>
    <x v="4"/>
    <s v="Mixer Grinder"/>
    <x v="6"/>
    <n v="5"/>
    <n v="5390"/>
    <n v="0"/>
    <n v="0"/>
    <n v="26950"/>
    <s v="09-04-2024"/>
    <x v="0"/>
    <x v="0"/>
    <x v="2"/>
    <x v="1"/>
    <n v="2.9"/>
  </r>
  <r>
    <s v="ORD0093"/>
    <s v="C001"/>
    <x v="1"/>
    <x v="1"/>
    <s v="Pen Set"/>
    <x v="1"/>
    <n v="2"/>
    <n v="150"/>
    <n v="0"/>
    <n v="0"/>
    <n v="300"/>
    <s v="10-10-2024"/>
    <x v="8"/>
    <x v="3"/>
    <x v="2"/>
    <x v="0"/>
    <m/>
  </r>
  <r>
    <s v="ORD0094"/>
    <s v="C003"/>
    <x v="12"/>
    <x v="8"/>
    <s v="Textbook"/>
    <x v="2"/>
    <n v="1"/>
    <n v="1110"/>
    <n v="20"/>
    <n v="222"/>
    <n v="888"/>
    <s v="25-05-2024"/>
    <x v="3"/>
    <x v="0"/>
    <x v="4"/>
    <x v="1"/>
    <n v="3.4"/>
  </r>
  <r>
    <s v="ORD0095"/>
    <s v="C001"/>
    <x v="1"/>
    <x v="1"/>
    <s v="Sneakers"/>
    <x v="5"/>
    <n v="4"/>
    <n v="2460"/>
    <n v="0"/>
    <n v="0"/>
    <n v="9840"/>
    <s v="24-07-2024"/>
    <x v="11"/>
    <x v="2"/>
    <x v="4"/>
    <x v="1"/>
    <n v="4.0999999999999996"/>
  </r>
  <r>
    <s v="ORD0096"/>
    <s v="C001"/>
    <x v="1"/>
    <x v="1"/>
    <s v="Smartwatch"/>
    <x v="0"/>
    <n v="2"/>
    <n v="13110"/>
    <n v="10"/>
    <n v="2622"/>
    <n v="23598"/>
    <s v="13-02-2024"/>
    <x v="5"/>
    <x v="1"/>
    <x v="0"/>
    <x v="1"/>
    <n v="4.4000000000000004"/>
  </r>
  <r>
    <s v="ORD0097"/>
    <s v="C010"/>
    <x v="9"/>
    <x v="8"/>
    <s v="Air Fryer"/>
    <x v="6"/>
    <n v="5"/>
    <n v="6580"/>
    <n v="20"/>
    <n v="6580"/>
    <n v="26320"/>
    <s v="13-07-2024"/>
    <x v="11"/>
    <x v="2"/>
    <x v="4"/>
    <x v="3"/>
    <m/>
  </r>
  <r>
    <s v="ORD0098"/>
    <s v="C005"/>
    <x v="13"/>
    <x v="4"/>
    <s v="Mixer Grinder"/>
    <x v="6"/>
    <n v="4"/>
    <n v="4220"/>
    <n v="20"/>
    <n v="3376"/>
    <n v="13504"/>
    <s v="31-01-2024"/>
    <x v="1"/>
    <x v="1"/>
    <x v="3"/>
    <x v="4"/>
    <m/>
  </r>
  <r>
    <s v="ORD0099"/>
    <s v="C002"/>
    <x v="3"/>
    <x v="3"/>
    <s v="Jeans"/>
    <x v="4"/>
    <n v="2"/>
    <n v="1660"/>
    <n v="0"/>
    <n v="0"/>
    <n v="3320"/>
    <s v="21-03-2024"/>
    <x v="10"/>
    <x v="1"/>
    <x v="0"/>
    <x v="1"/>
    <n v="2.7"/>
  </r>
  <r>
    <s v="ORD0100"/>
    <s v="C001"/>
    <x v="1"/>
    <x v="1"/>
    <s v="Perfume"/>
    <x v="3"/>
    <n v="4"/>
    <n v="3070"/>
    <n v="15"/>
    <n v="1842"/>
    <n v="10438"/>
    <s v="29-05-2024"/>
    <x v="3"/>
    <x v="0"/>
    <x v="1"/>
    <x v="1"/>
    <n v="4.3"/>
  </r>
  <r>
    <s v="ORD0101"/>
    <s v="C012"/>
    <x v="4"/>
    <x v="4"/>
    <s v="Novel Book"/>
    <x v="2"/>
    <n v="1"/>
    <n v="510"/>
    <n v="10"/>
    <n v="51"/>
    <n v="459"/>
    <s v="16-11-2024"/>
    <x v="4"/>
    <x v="3"/>
    <x v="3"/>
    <x v="0"/>
    <m/>
  </r>
  <r>
    <s v="ORD0102"/>
    <s v="C015"/>
    <x v="5"/>
    <x v="5"/>
    <s v="Jeans"/>
    <x v="4"/>
    <n v="4"/>
    <n v="1290"/>
    <n v="5"/>
    <n v="258"/>
    <n v="4902"/>
    <s v="27-11-2024"/>
    <x v="4"/>
    <x v="3"/>
    <x v="0"/>
    <x v="3"/>
    <m/>
  </r>
  <r>
    <s v="ORD0103"/>
    <s v="C014"/>
    <x v="2"/>
    <x v="2"/>
    <s v="Smartwatch"/>
    <x v="0"/>
    <n v="1"/>
    <n v="5600"/>
    <n v="10"/>
    <n v="560"/>
    <n v="5040"/>
    <s v="31-10-2024"/>
    <x v="8"/>
    <x v="3"/>
    <x v="3"/>
    <x v="3"/>
    <m/>
  </r>
  <r>
    <s v="ORD0104"/>
    <s v="C008"/>
    <x v="7"/>
    <x v="3"/>
    <s v="Headphones"/>
    <x v="0"/>
    <n v="4"/>
    <n v="6130"/>
    <n v="15"/>
    <n v="3678"/>
    <n v="20842"/>
    <s v="19-05-2024"/>
    <x v="3"/>
    <x v="0"/>
    <x v="3"/>
    <x v="1"/>
    <n v="3.6"/>
  </r>
  <r>
    <s v="ORD0105"/>
    <s v="C010"/>
    <x v="9"/>
    <x v="8"/>
    <s v="Mobile Phone"/>
    <x v="0"/>
    <n v="4"/>
    <n v="29690"/>
    <n v="20"/>
    <n v="23752"/>
    <n v="95008"/>
    <s v="08-05-2024"/>
    <x v="3"/>
    <x v="0"/>
    <x v="1"/>
    <x v="1"/>
    <n v="4.9000000000000004"/>
  </r>
  <r>
    <s v="ORD0106"/>
    <s v="C014"/>
    <x v="2"/>
    <x v="2"/>
    <s v="Mixer Grinder"/>
    <x v="6"/>
    <n v="5"/>
    <n v="6800"/>
    <n v="10"/>
    <n v="3400"/>
    <n v="30600"/>
    <s v="22-10-2024"/>
    <x v="8"/>
    <x v="3"/>
    <x v="1"/>
    <x v="2"/>
    <m/>
  </r>
  <r>
    <s v="ORD0107"/>
    <s v="C003"/>
    <x v="12"/>
    <x v="8"/>
    <s v="Textbook"/>
    <x v="2"/>
    <n v="5"/>
    <n v="960"/>
    <n v="10"/>
    <n v="480"/>
    <n v="4320"/>
    <s v="02-04-2024"/>
    <x v="0"/>
    <x v="0"/>
    <x v="3"/>
    <x v="1"/>
    <n v="4.5"/>
  </r>
  <r>
    <s v="ORD0108"/>
    <s v="C002"/>
    <x v="3"/>
    <x v="3"/>
    <s v="Textbook"/>
    <x v="2"/>
    <n v="3"/>
    <n v="790"/>
    <n v="10"/>
    <n v="237"/>
    <n v="2133"/>
    <s v="09-12-2024"/>
    <x v="9"/>
    <x v="3"/>
    <x v="1"/>
    <x v="3"/>
    <m/>
  </r>
  <r>
    <s v="ORD0109"/>
    <s v="C006"/>
    <x v="14"/>
    <x v="1"/>
    <s v="Perfume"/>
    <x v="3"/>
    <n v="4"/>
    <n v="1860"/>
    <n v="15"/>
    <n v="1116"/>
    <n v="6324"/>
    <s v="08-10-2024"/>
    <x v="8"/>
    <x v="3"/>
    <x v="1"/>
    <x v="1"/>
    <n v="3.3"/>
  </r>
  <r>
    <s v="ORD0110"/>
    <s v="C006"/>
    <x v="14"/>
    <x v="1"/>
    <s v="Headphones"/>
    <x v="0"/>
    <n v="4"/>
    <n v="7190"/>
    <n v="0"/>
    <n v="0"/>
    <n v="28760"/>
    <s v="02-12-2024"/>
    <x v="9"/>
    <x v="3"/>
    <x v="3"/>
    <x v="1"/>
    <n v="2.6"/>
  </r>
  <r>
    <s v="ORD0111"/>
    <s v="C009"/>
    <x v="8"/>
    <x v="7"/>
    <s v="Face Cream"/>
    <x v="3"/>
    <n v="5"/>
    <n v="1210"/>
    <n v="15"/>
    <n v="907.5"/>
    <n v="5142.5"/>
    <s v="27-01-2024"/>
    <x v="1"/>
    <x v="1"/>
    <x v="0"/>
    <x v="1"/>
    <n v="2.8"/>
  </r>
  <r>
    <s v="ORD0112"/>
    <s v="C005"/>
    <x v="13"/>
    <x v="4"/>
    <s v="Novel Book"/>
    <x v="2"/>
    <n v="4"/>
    <n v="340"/>
    <n v="20"/>
    <n v="272"/>
    <n v="1088"/>
    <s v="02-05-2024"/>
    <x v="3"/>
    <x v="0"/>
    <x v="0"/>
    <x v="1"/>
    <n v="2.5"/>
  </r>
  <r>
    <s v="ORD0113"/>
    <s v="C007"/>
    <x v="6"/>
    <x v="6"/>
    <s v="Tablet"/>
    <x v="0"/>
    <n v="2"/>
    <n v="39850"/>
    <n v="0"/>
    <n v="0"/>
    <n v="79700"/>
    <s v="24-08-2024"/>
    <x v="2"/>
    <x v="2"/>
    <x v="1"/>
    <x v="0"/>
    <m/>
  </r>
  <r>
    <s v="ORD0114"/>
    <s v="C003"/>
    <x v="12"/>
    <x v="8"/>
    <s v="Textbook"/>
    <x v="2"/>
    <n v="3"/>
    <n v="860"/>
    <n v="10"/>
    <n v="258"/>
    <n v="2322"/>
    <s v="31-07-2024"/>
    <x v="11"/>
    <x v="2"/>
    <x v="4"/>
    <x v="4"/>
    <m/>
  </r>
  <r>
    <s v="ORD0115"/>
    <s v="C004"/>
    <x v="11"/>
    <x v="5"/>
    <s v="Novel Book"/>
    <x v="2"/>
    <n v="5"/>
    <n v="340"/>
    <n v="5"/>
    <n v="85"/>
    <n v="1615"/>
    <s v="02-11-2024"/>
    <x v="4"/>
    <x v="3"/>
    <x v="3"/>
    <x v="0"/>
    <m/>
  </r>
  <r>
    <s v="ORD0116"/>
    <s v="C003"/>
    <x v="12"/>
    <x v="8"/>
    <s v="Tablet"/>
    <x v="0"/>
    <n v="3"/>
    <n v="35450"/>
    <n v="15"/>
    <n v="15952.5"/>
    <n v="90397.5"/>
    <s v="23-06-2024"/>
    <x v="7"/>
    <x v="0"/>
    <x v="3"/>
    <x v="1"/>
    <n v="2.5"/>
  </r>
  <r>
    <s v="ORD0117"/>
    <s v="C012"/>
    <x v="4"/>
    <x v="4"/>
    <s v="Formal Shoes"/>
    <x v="5"/>
    <n v="5"/>
    <n v="3530"/>
    <n v="15"/>
    <n v="2647.5"/>
    <n v="15002.5"/>
    <s v="17-03-2024"/>
    <x v="10"/>
    <x v="1"/>
    <x v="4"/>
    <x v="1"/>
    <n v="3.4"/>
  </r>
  <r>
    <s v="ORD0118"/>
    <s v="C009"/>
    <x v="8"/>
    <x v="7"/>
    <s v="Pen Set"/>
    <x v="1"/>
    <n v="4"/>
    <n v="190"/>
    <n v="10"/>
    <n v="76"/>
    <n v="684"/>
    <s v="06-04-2024"/>
    <x v="0"/>
    <x v="0"/>
    <x v="0"/>
    <x v="0"/>
    <m/>
  </r>
  <r>
    <s v="ORD0119"/>
    <s v="C004"/>
    <x v="11"/>
    <x v="5"/>
    <s v="Perfume"/>
    <x v="3"/>
    <n v="1"/>
    <n v="1950"/>
    <n v="15"/>
    <n v="292.5"/>
    <n v="1657.5"/>
    <s v="27-12-2024"/>
    <x v="9"/>
    <x v="3"/>
    <x v="4"/>
    <x v="1"/>
    <n v="4.2"/>
  </r>
  <r>
    <s v="ORD0120"/>
    <s v="C014"/>
    <x v="2"/>
    <x v="2"/>
    <s v="Smartwatch"/>
    <x v="0"/>
    <n v="4"/>
    <n v="14650"/>
    <n v="5"/>
    <n v="2930"/>
    <n v="55670"/>
    <s v="14-09-2024"/>
    <x v="6"/>
    <x v="2"/>
    <x v="3"/>
    <x v="1"/>
    <n v="2.8"/>
  </r>
  <r>
    <s v="ORD0121"/>
    <s v="C014"/>
    <x v="2"/>
    <x v="2"/>
    <s v="Novel Book"/>
    <x v="2"/>
    <n v="1"/>
    <n v="460"/>
    <n v="15"/>
    <n v="69"/>
    <n v="391"/>
    <s v="08-01-2024"/>
    <x v="1"/>
    <x v="1"/>
    <x v="0"/>
    <x v="1"/>
    <n v="4.0999999999999996"/>
  </r>
  <r>
    <s v="ORD0122"/>
    <s v="C003"/>
    <x v="12"/>
    <x v="8"/>
    <s v="Tablet"/>
    <x v="0"/>
    <n v="4"/>
    <n v="35630"/>
    <n v="10"/>
    <n v="14252"/>
    <n v="128268"/>
    <s v="22-06-2024"/>
    <x v="7"/>
    <x v="0"/>
    <x v="3"/>
    <x v="0"/>
    <m/>
  </r>
  <r>
    <s v="ORD0123"/>
    <s v="C011"/>
    <x v="0"/>
    <x v="0"/>
    <s v="Tablet"/>
    <x v="0"/>
    <n v="3"/>
    <n v="37050"/>
    <n v="20"/>
    <n v="22230"/>
    <n v="88920"/>
    <s v="13-07-2024"/>
    <x v="11"/>
    <x v="2"/>
    <x v="2"/>
    <x v="0"/>
    <m/>
  </r>
  <r>
    <s v="ORD0124"/>
    <s v="C015"/>
    <x v="5"/>
    <x v="5"/>
    <s v="Textbook"/>
    <x v="2"/>
    <n v="5"/>
    <n v="530"/>
    <n v="0"/>
    <n v="0"/>
    <n v="2650"/>
    <s v="30-04-2024"/>
    <x v="0"/>
    <x v="0"/>
    <x v="2"/>
    <x v="4"/>
    <m/>
  </r>
  <r>
    <s v="ORD0125"/>
    <s v="C012"/>
    <x v="4"/>
    <x v="4"/>
    <s v="Tablet"/>
    <x v="0"/>
    <n v="4"/>
    <n v="39570"/>
    <n v="0"/>
    <n v="0"/>
    <n v="158280"/>
    <s v="15-08-2024"/>
    <x v="2"/>
    <x v="2"/>
    <x v="0"/>
    <x v="0"/>
    <m/>
  </r>
  <r>
    <s v="ORD0126"/>
    <s v="C015"/>
    <x v="5"/>
    <x v="5"/>
    <s v="Laptop"/>
    <x v="0"/>
    <n v="1"/>
    <n v="48240"/>
    <n v="0"/>
    <n v="0"/>
    <n v="48240"/>
    <s v="30-05-2024"/>
    <x v="3"/>
    <x v="0"/>
    <x v="2"/>
    <x v="1"/>
    <n v="2.9"/>
  </r>
  <r>
    <s v="ORD0127"/>
    <s v="C009"/>
    <x v="8"/>
    <x v="7"/>
    <s v="Perfume"/>
    <x v="3"/>
    <n v="5"/>
    <n v="3050"/>
    <n v="5"/>
    <n v="762.5"/>
    <n v="14487.5"/>
    <s v="28-03-2024"/>
    <x v="10"/>
    <x v="1"/>
    <x v="0"/>
    <x v="1"/>
    <n v="4.7"/>
  </r>
  <r>
    <s v="ORD0128"/>
    <s v="C010"/>
    <x v="9"/>
    <x v="8"/>
    <s v="Kurta"/>
    <x v="4"/>
    <n v="4"/>
    <n v="2350"/>
    <n v="5"/>
    <n v="470"/>
    <n v="8930"/>
    <s v="28-04-2024"/>
    <x v="0"/>
    <x v="0"/>
    <x v="4"/>
    <x v="0"/>
    <m/>
  </r>
  <r>
    <s v="ORD0129"/>
    <s v="C008"/>
    <x v="7"/>
    <x v="3"/>
    <s v="Sneakers"/>
    <x v="5"/>
    <n v="1"/>
    <n v="5600"/>
    <n v="15"/>
    <n v="840"/>
    <n v="4760"/>
    <s v="27-05-2024"/>
    <x v="3"/>
    <x v="0"/>
    <x v="3"/>
    <x v="1"/>
    <n v="3.6"/>
  </r>
  <r>
    <s v="ORD0130"/>
    <s v="C006"/>
    <x v="14"/>
    <x v="1"/>
    <s v="Mixer Grinder"/>
    <x v="6"/>
    <n v="3"/>
    <n v="5560"/>
    <n v="15"/>
    <n v="2502"/>
    <n v="14178"/>
    <s v="19-12-2024"/>
    <x v="9"/>
    <x v="3"/>
    <x v="2"/>
    <x v="1"/>
    <n v="3.3"/>
  </r>
  <r>
    <s v="ORD0131"/>
    <s v="C007"/>
    <x v="6"/>
    <x v="6"/>
    <s v="Textbook"/>
    <x v="2"/>
    <n v="1"/>
    <n v="670"/>
    <n v="20"/>
    <n v="134"/>
    <n v="536"/>
    <s v="02-07-2024"/>
    <x v="11"/>
    <x v="2"/>
    <x v="3"/>
    <x v="1"/>
    <n v="4.2"/>
  </r>
  <r>
    <s v="ORD0132"/>
    <s v="C001"/>
    <x v="1"/>
    <x v="1"/>
    <s v="Shampoo"/>
    <x v="3"/>
    <n v="3"/>
    <n v="200"/>
    <n v="0"/>
    <n v="0"/>
    <n v="600"/>
    <s v="06-11-2024"/>
    <x v="4"/>
    <x v="3"/>
    <x v="4"/>
    <x v="2"/>
    <m/>
  </r>
  <r>
    <s v="ORD0133"/>
    <s v="C015"/>
    <x v="5"/>
    <x v="5"/>
    <s v="Formal Shoes"/>
    <x v="5"/>
    <n v="2"/>
    <n v="3620"/>
    <n v="10"/>
    <n v="724"/>
    <n v="6516"/>
    <s v="22-04-2024"/>
    <x v="0"/>
    <x v="0"/>
    <x v="0"/>
    <x v="0"/>
    <m/>
  </r>
  <r>
    <s v="ORD0134"/>
    <s v="C011"/>
    <x v="0"/>
    <x v="0"/>
    <s v="Smartwatch"/>
    <x v="0"/>
    <n v="1"/>
    <n v="14030"/>
    <n v="0"/>
    <n v="0"/>
    <n v="14030"/>
    <s v="07-06-2024"/>
    <x v="7"/>
    <x v="0"/>
    <x v="4"/>
    <x v="1"/>
    <n v="3.4"/>
  </r>
  <r>
    <s v="ORD0135"/>
    <s v="C003"/>
    <x v="12"/>
    <x v="8"/>
    <s v="Tablet"/>
    <x v="0"/>
    <n v="3"/>
    <n v="26530"/>
    <n v="15"/>
    <n v="11938.5"/>
    <n v="67651.5"/>
    <s v="30-03-2024"/>
    <x v="10"/>
    <x v="1"/>
    <x v="0"/>
    <x v="1"/>
    <n v="3.8"/>
  </r>
  <r>
    <s v="ORD0136"/>
    <s v="C006"/>
    <x v="14"/>
    <x v="1"/>
    <s v="Notebook Set"/>
    <x v="1"/>
    <n v="5"/>
    <n v="380"/>
    <n v="5"/>
    <n v="95"/>
    <n v="1805"/>
    <s v="11-05-2024"/>
    <x v="3"/>
    <x v="0"/>
    <x v="4"/>
    <x v="4"/>
    <m/>
  </r>
  <r>
    <s v="ORD0137"/>
    <s v="C005"/>
    <x v="13"/>
    <x v="4"/>
    <s v="Sandals"/>
    <x v="5"/>
    <n v="1"/>
    <n v="1200"/>
    <n v="0"/>
    <n v="0"/>
    <n v="1200"/>
    <s v="13-03-2024"/>
    <x v="10"/>
    <x v="1"/>
    <x v="0"/>
    <x v="3"/>
    <m/>
  </r>
  <r>
    <s v="ORD0138"/>
    <s v="C012"/>
    <x v="4"/>
    <x v="4"/>
    <s v="Shampoo"/>
    <x v="3"/>
    <n v="5"/>
    <n v="420"/>
    <n v="15"/>
    <n v="315"/>
    <n v="1785"/>
    <s v="08-01-2024"/>
    <x v="1"/>
    <x v="1"/>
    <x v="2"/>
    <x v="1"/>
    <n v="3.6"/>
  </r>
  <r>
    <s v="ORD0139"/>
    <s v="C011"/>
    <x v="0"/>
    <x v="0"/>
    <s v="Sneakers"/>
    <x v="5"/>
    <n v="5"/>
    <n v="3520"/>
    <n v="10"/>
    <n v="1760"/>
    <n v="15840"/>
    <s v="25-02-2024"/>
    <x v="5"/>
    <x v="1"/>
    <x v="0"/>
    <x v="1"/>
    <n v="4"/>
  </r>
  <r>
    <s v="ORD0140"/>
    <s v="C009"/>
    <x v="8"/>
    <x v="7"/>
    <s v="Sandals"/>
    <x v="5"/>
    <n v="5"/>
    <n v="830"/>
    <n v="0"/>
    <n v="0"/>
    <n v="4150"/>
    <s v="21-11-2024"/>
    <x v="4"/>
    <x v="3"/>
    <x v="4"/>
    <x v="3"/>
    <m/>
  </r>
  <r>
    <s v="ORD0141"/>
    <s v="C005"/>
    <x v="13"/>
    <x v="4"/>
    <s v="Perfume"/>
    <x v="3"/>
    <n v="1"/>
    <n v="1420"/>
    <n v="0"/>
    <n v="0"/>
    <n v="1420"/>
    <s v="04-06-2024"/>
    <x v="7"/>
    <x v="0"/>
    <x v="4"/>
    <x v="1"/>
    <n v="3.1"/>
  </r>
  <r>
    <s v="ORD0142"/>
    <s v="C009"/>
    <x v="8"/>
    <x v="7"/>
    <s v="Smartwatch"/>
    <x v="0"/>
    <n v="4"/>
    <n v="9540"/>
    <n v="20"/>
    <n v="7632"/>
    <n v="30528"/>
    <s v="02-08-2024"/>
    <x v="2"/>
    <x v="2"/>
    <x v="3"/>
    <x v="0"/>
    <m/>
  </r>
  <r>
    <s v="ORD0143"/>
    <s v="C003"/>
    <x v="12"/>
    <x v="8"/>
    <s v="Perfume"/>
    <x v="3"/>
    <n v="1"/>
    <n v="3500"/>
    <n v="20"/>
    <n v="700"/>
    <n v="2800"/>
    <s v="27-07-2024"/>
    <x v="11"/>
    <x v="2"/>
    <x v="2"/>
    <x v="1"/>
    <n v="3.4"/>
  </r>
  <r>
    <s v="ORD0144"/>
    <s v="C008"/>
    <x v="7"/>
    <x v="3"/>
    <s v="Novel Book"/>
    <x v="2"/>
    <n v="2"/>
    <n v="560"/>
    <n v="0"/>
    <n v="0"/>
    <n v="1120"/>
    <s v="17-12-2024"/>
    <x v="9"/>
    <x v="3"/>
    <x v="2"/>
    <x v="1"/>
    <n v="4.9000000000000004"/>
  </r>
  <r>
    <s v="ORD0145"/>
    <s v="C006"/>
    <x v="14"/>
    <x v="1"/>
    <s v="Mobile Phone"/>
    <x v="0"/>
    <n v="4"/>
    <n v="20520"/>
    <n v="0"/>
    <n v="0"/>
    <n v="82080"/>
    <s v="20-08-2024"/>
    <x v="2"/>
    <x v="2"/>
    <x v="1"/>
    <x v="0"/>
    <m/>
  </r>
  <r>
    <s v="ORD0146"/>
    <s v="C011"/>
    <x v="0"/>
    <x v="0"/>
    <s v="Air Fryer"/>
    <x v="6"/>
    <n v="1"/>
    <n v="5350"/>
    <n v="10"/>
    <n v="535"/>
    <n v="4815"/>
    <s v="04-05-2024"/>
    <x v="3"/>
    <x v="0"/>
    <x v="0"/>
    <x v="2"/>
    <m/>
  </r>
  <r>
    <s v="ORD0147"/>
    <s v="C004"/>
    <x v="11"/>
    <x v="5"/>
    <s v="Tablet"/>
    <x v="0"/>
    <n v="5"/>
    <n v="24140"/>
    <n v="5"/>
    <n v="6035"/>
    <n v="114665"/>
    <s v="29-04-2024"/>
    <x v="0"/>
    <x v="0"/>
    <x v="2"/>
    <x v="2"/>
    <m/>
  </r>
  <r>
    <s v="ORD0148"/>
    <s v="C013"/>
    <x v="10"/>
    <x v="1"/>
    <s v="Air Fryer"/>
    <x v="6"/>
    <n v="1"/>
    <n v="6940"/>
    <n v="5"/>
    <n v="347"/>
    <n v="6593"/>
    <s v="07-03-2024"/>
    <x v="10"/>
    <x v="1"/>
    <x v="3"/>
    <x v="1"/>
    <n v="2.9"/>
  </r>
  <r>
    <s v="ORD0149"/>
    <s v="C011"/>
    <x v="0"/>
    <x v="0"/>
    <s v="Laptop"/>
    <x v="0"/>
    <n v="2"/>
    <n v="45150"/>
    <n v="5"/>
    <n v="4515"/>
    <n v="85785"/>
    <s v="28-10-2024"/>
    <x v="8"/>
    <x v="3"/>
    <x v="2"/>
    <x v="1"/>
    <n v="3.2"/>
  </r>
  <r>
    <s v="ORD0150"/>
    <s v="C003"/>
    <x v="12"/>
    <x v="8"/>
    <s v="Perfume"/>
    <x v="3"/>
    <n v="5"/>
    <n v="1340"/>
    <n v="0"/>
    <n v="0"/>
    <n v="6700"/>
    <s v="31-08-2024"/>
    <x v="2"/>
    <x v="2"/>
    <x v="4"/>
    <x v="2"/>
    <m/>
  </r>
  <r>
    <s v="ORD0151"/>
    <s v="C009"/>
    <x v="8"/>
    <x v="7"/>
    <s v="Mixer Grinder"/>
    <x v="6"/>
    <n v="1"/>
    <n v="4810"/>
    <n v="5"/>
    <n v="240.5"/>
    <n v="4569.5"/>
    <s v="10-11-2024"/>
    <x v="4"/>
    <x v="3"/>
    <x v="1"/>
    <x v="0"/>
    <m/>
  </r>
  <r>
    <s v="ORD0152"/>
    <s v="C015"/>
    <x v="5"/>
    <x v="5"/>
    <s v="Notebook Set"/>
    <x v="1"/>
    <n v="3"/>
    <n v="260"/>
    <n v="0"/>
    <n v="0"/>
    <n v="780"/>
    <s v="01-02-2024"/>
    <x v="5"/>
    <x v="1"/>
    <x v="4"/>
    <x v="2"/>
    <m/>
  </r>
  <r>
    <s v="ORD0153"/>
    <s v="C007"/>
    <x v="6"/>
    <x v="6"/>
    <s v="Headphones"/>
    <x v="0"/>
    <n v="4"/>
    <n v="6270"/>
    <n v="15"/>
    <n v="3762"/>
    <n v="21318"/>
    <s v="07-02-2024"/>
    <x v="5"/>
    <x v="1"/>
    <x v="1"/>
    <x v="1"/>
    <n v="2.9"/>
  </r>
  <r>
    <s v="ORD0154"/>
    <s v="C003"/>
    <x v="12"/>
    <x v="8"/>
    <s v="Sneakers"/>
    <x v="5"/>
    <n v="5"/>
    <n v="4530"/>
    <n v="20"/>
    <n v="4530"/>
    <n v="18120"/>
    <s v="30-12-2024"/>
    <x v="9"/>
    <x v="3"/>
    <x v="2"/>
    <x v="1"/>
    <n v="4"/>
  </r>
  <r>
    <s v="ORD0155"/>
    <s v="C005"/>
    <x v="13"/>
    <x v="4"/>
    <s v="Novel Book"/>
    <x v="2"/>
    <n v="5"/>
    <n v="480"/>
    <n v="0"/>
    <n v="0"/>
    <n v="2400"/>
    <s v="25-12-2024"/>
    <x v="9"/>
    <x v="3"/>
    <x v="1"/>
    <x v="3"/>
    <m/>
  </r>
  <r>
    <s v="ORD0156"/>
    <s v="C011"/>
    <x v="0"/>
    <x v="0"/>
    <s v="Pen Set"/>
    <x v="1"/>
    <n v="2"/>
    <n v="190"/>
    <n v="5"/>
    <n v="19"/>
    <n v="361"/>
    <s v="30-07-2024"/>
    <x v="11"/>
    <x v="2"/>
    <x v="2"/>
    <x v="2"/>
    <m/>
  </r>
  <r>
    <s v="ORD0157"/>
    <s v="C007"/>
    <x v="6"/>
    <x v="6"/>
    <s v="Perfume"/>
    <x v="3"/>
    <n v="1"/>
    <n v="1940"/>
    <n v="10"/>
    <n v="194"/>
    <n v="1746"/>
    <s v="06-12-2024"/>
    <x v="9"/>
    <x v="3"/>
    <x v="2"/>
    <x v="1"/>
    <n v="2.9"/>
  </r>
  <r>
    <s v="ORD0158"/>
    <s v="C015"/>
    <x v="5"/>
    <x v="5"/>
    <s v="Textbook"/>
    <x v="2"/>
    <n v="1"/>
    <n v="560"/>
    <n v="0"/>
    <n v="0"/>
    <n v="560"/>
    <s v="17-02-2024"/>
    <x v="5"/>
    <x v="1"/>
    <x v="4"/>
    <x v="1"/>
    <n v="4.3"/>
  </r>
  <r>
    <s v="ORD0159"/>
    <s v="C013"/>
    <x v="10"/>
    <x v="1"/>
    <s v="Smartwatch"/>
    <x v="0"/>
    <n v="5"/>
    <n v="5600"/>
    <n v="20"/>
    <n v="5600"/>
    <n v="22400"/>
    <s v="14-10-2024"/>
    <x v="8"/>
    <x v="3"/>
    <x v="2"/>
    <x v="0"/>
    <m/>
  </r>
  <r>
    <s v="ORD0160"/>
    <s v="C007"/>
    <x v="6"/>
    <x v="6"/>
    <s v="Face Cream"/>
    <x v="3"/>
    <n v="4"/>
    <n v="1340"/>
    <n v="0"/>
    <n v="0"/>
    <n v="5360"/>
    <s v="27-05-2024"/>
    <x v="3"/>
    <x v="0"/>
    <x v="3"/>
    <x v="1"/>
    <n v="2.8"/>
  </r>
  <r>
    <s v="ORD0161"/>
    <s v="C009"/>
    <x v="8"/>
    <x v="7"/>
    <s v="Jeans"/>
    <x v="4"/>
    <n v="2"/>
    <n v="2640"/>
    <n v="5"/>
    <n v="264"/>
    <n v="5016"/>
    <s v="25-02-2024"/>
    <x v="5"/>
    <x v="1"/>
    <x v="2"/>
    <x v="2"/>
    <m/>
  </r>
  <r>
    <s v="ORD0162"/>
    <s v="C006"/>
    <x v="14"/>
    <x v="1"/>
    <s v="Headphones"/>
    <x v="0"/>
    <n v="3"/>
    <n v="5440"/>
    <n v="15"/>
    <n v="2448"/>
    <n v="13872"/>
    <s v="14-10-2024"/>
    <x v="8"/>
    <x v="3"/>
    <x v="3"/>
    <x v="0"/>
    <m/>
  </r>
  <r>
    <s v="ORD0163"/>
    <s v="C011"/>
    <x v="0"/>
    <x v="0"/>
    <s v="Pen Set"/>
    <x v="1"/>
    <n v="1"/>
    <n v="220"/>
    <n v="10"/>
    <n v="22"/>
    <n v="198"/>
    <s v="15-01-2024"/>
    <x v="1"/>
    <x v="1"/>
    <x v="0"/>
    <x v="1"/>
    <n v="4.4000000000000004"/>
  </r>
  <r>
    <s v="ORD0164"/>
    <s v="C015"/>
    <x v="5"/>
    <x v="5"/>
    <s v="Sandals"/>
    <x v="5"/>
    <n v="3"/>
    <n v="510"/>
    <n v="5"/>
    <n v="76.5"/>
    <n v="1453.5"/>
    <s v="16-10-2024"/>
    <x v="8"/>
    <x v="3"/>
    <x v="4"/>
    <x v="1"/>
    <n v="4.4000000000000004"/>
  </r>
  <r>
    <s v="ORD0165"/>
    <s v="C001"/>
    <x v="1"/>
    <x v="1"/>
    <s v="Tablet"/>
    <x v="0"/>
    <n v="5"/>
    <n v="24300"/>
    <n v="15"/>
    <n v="18225"/>
    <n v="103275"/>
    <s v="20-08-2024"/>
    <x v="2"/>
    <x v="2"/>
    <x v="2"/>
    <x v="1"/>
    <n v="3.3"/>
  </r>
  <r>
    <s v="ORD0166"/>
    <s v="C006"/>
    <x v="14"/>
    <x v="1"/>
    <s v="Mixer Grinder"/>
    <x v="6"/>
    <n v="5"/>
    <n v="3340"/>
    <n v="0"/>
    <n v="0"/>
    <n v="16700"/>
    <s v="20-03-2024"/>
    <x v="10"/>
    <x v="1"/>
    <x v="0"/>
    <x v="2"/>
    <m/>
  </r>
  <r>
    <s v="ORD0167"/>
    <s v="C001"/>
    <x v="1"/>
    <x v="1"/>
    <s v="Tablet"/>
    <x v="0"/>
    <n v="3"/>
    <n v="28860"/>
    <n v="15"/>
    <n v="12987"/>
    <n v="73593"/>
    <s v="05-09-2024"/>
    <x v="6"/>
    <x v="2"/>
    <x v="3"/>
    <x v="1"/>
    <n v="3.2"/>
  </r>
  <r>
    <s v="ORD0168"/>
    <s v="C013"/>
    <x v="10"/>
    <x v="1"/>
    <s v="Notebook Set"/>
    <x v="1"/>
    <n v="1"/>
    <n v="240"/>
    <n v="0"/>
    <n v="0"/>
    <n v="240"/>
    <s v="25-05-2024"/>
    <x v="3"/>
    <x v="0"/>
    <x v="3"/>
    <x v="1"/>
    <n v="4.2"/>
  </r>
  <r>
    <s v="ORD0169"/>
    <s v="C001"/>
    <x v="1"/>
    <x v="1"/>
    <s v="Kurta"/>
    <x v="4"/>
    <n v="4"/>
    <n v="2470"/>
    <n v="0"/>
    <n v="0"/>
    <n v="9880"/>
    <s v="04-01-2024"/>
    <x v="1"/>
    <x v="1"/>
    <x v="0"/>
    <x v="1"/>
    <n v="3"/>
  </r>
  <r>
    <s v="ORD0170"/>
    <s v="C003"/>
    <x v="12"/>
    <x v="8"/>
    <s v="Sneakers"/>
    <x v="5"/>
    <n v="3"/>
    <n v="3310"/>
    <n v="0"/>
    <n v="0"/>
    <n v="9930"/>
    <s v="11-09-2024"/>
    <x v="6"/>
    <x v="2"/>
    <x v="4"/>
    <x v="1"/>
    <n v="3.5"/>
  </r>
  <r>
    <s v="ORD0171"/>
    <s v="C012"/>
    <x v="4"/>
    <x v="4"/>
    <s v="Kurta"/>
    <x v="4"/>
    <n v="5"/>
    <n v="1750"/>
    <n v="10"/>
    <n v="875"/>
    <n v="7875"/>
    <s v="06-02-2024"/>
    <x v="5"/>
    <x v="1"/>
    <x v="4"/>
    <x v="3"/>
    <m/>
  </r>
  <r>
    <s v="ORD0172"/>
    <s v="C001"/>
    <x v="1"/>
    <x v="1"/>
    <s v="Perfume"/>
    <x v="3"/>
    <n v="1"/>
    <n v="2380"/>
    <n v="0"/>
    <n v="0"/>
    <n v="2380"/>
    <s v="09-06-2024"/>
    <x v="7"/>
    <x v="0"/>
    <x v="3"/>
    <x v="1"/>
    <n v="3.5"/>
  </r>
  <r>
    <s v="ORD0173"/>
    <s v="C011"/>
    <x v="0"/>
    <x v="0"/>
    <s v="Perfume"/>
    <x v="3"/>
    <n v="3"/>
    <n v="1350"/>
    <n v="0"/>
    <n v="0"/>
    <n v="4050"/>
    <s v="15-06-2024"/>
    <x v="7"/>
    <x v="0"/>
    <x v="0"/>
    <x v="2"/>
    <m/>
  </r>
  <r>
    <s v="ORD0174"/>
    <s v="C010"/>
    <x v="9"/>
    <x v="8"/>
    <s v="Novel Book"/>
    <x v="2"/>
    <n v="3"/>
    <n v="330"/>
    <n v="0"/>
    <n v="0"/>
    <n v="990"/>
    <s v="04-05-2024"/>
    <x v="3"/>
    <x v="0"/>
    <x v="4"/>
    <x v="0"/>
    <m/>
  </r>
  <r>
    <s v="ORD0175"/>
    <s v="C009"/>
    <x v="8"/>
    <x v="7"/>
    <s v="Tablet"/>
    <x v="0"/>
    <n v="4"/>
    <n v="37410"/>
    <n v="10"/>
    <n v="14964"/>
    <n v="134676"/>
    <s v="23-04-2024"/>
    <x v="0"/>
    <x v="0"/>
    <x v="2"/>
    <x v="2"/>
    <m/>
  </r>
  <r>
    <s v="ORD0176"/>
    <s v="C002"/>
    <x v="3"/>
    <x v="3"/>
    <s v="Notebook Set"/>
    <x v="1"/>
    <n v="1"/>
    <n v="280"/>
    <n v="5"/>
    <n v="14"/>
    <n v="266"/>
    <s v="27-06-2024"/>
    <x v="7"/>
    <x v="0"/>
    <x v="2"/>
    <x v="0"/>
    <m/>
  </r>
  <r>
    <s v="ORD0177"/>
    <s v="C014"/>
    <x v="2"/>
    <x v="2"/>
    <s v="Smartwatch"/>
    <x v="0"/>
    <n v="2"/>
    <n v="6030"/>
    <n v="10"/>
    <n v="1206"/>
    <n v="10854"/>
    <s v="11-04-2024"/>
    <x v="0"/>
    <x v="0"/>
    <x v="0"/>
    <x v="0"/>
    <m/>
  </r>
  <r>
    <s v="ORD0178"/>
    <s v="C013"/>
    <x v="10"/>
    <x v="1"/>
    <s v="Tablet"/>
    <x v="0"/>
    <n v="2"/>
    <n v="39030"/>
    <n v="15"/>
    <n v="11709"/>
    <n v="66351"/>
    <s v="25-08-2024"/>
    <x v="2"/>
    <x v="2"/>
    <x v="3"/>
    <x v="2"/>
    <m/>
  </r>
  <r>
    <s v="ORD0179"/>
    <s v="C008"/>
    <x v="7"/>
    <x v="3"/>
    <s v="Mixer Grinder"/>
    <x v="6"/>
    <n v="5"/>
    <n v="4290"/>
    <n v="10"/>
    <n v="2145"/>
    <n v="19305"/>
    <s v="18-03-2024"/>
    <x v="10"/>
    <x v="1"/>
    <x v="4"/>
    <x v="1"/>
    <n v="3.6"/>
  </r>
  <r>
    <s v="ORD0180"/>
    <s v="C005"/>
    <x v="13"/>
    <x v="4"/>
    <s v="Sneakers"/>
    <x v="5"/>
    <n v="5"/>
    <n v="2220"/>
    <n v="20"/>
    <n v="2220"/>
    <n v="8880"/>
    <s v="07-02-2024"/>
    <x v="5"/>
    <x v="1"/>
    <x v="2"/>
    <x v="1"/>
    <n v="2.6"/>
  </r>
  <r>
    <s v="ORD0181"/>
    <s v="C006"/>
    <x v="14"/>
    <x v="1"/>
    <s v="Formal Shoes"/>
    <x v="5"/>
    <n v="1"/>
    <n v="3760"/>
    <n v="0"/>
    <n v="0"/>
    <n v="3760"/>
    <s v="10-11-2024"/>
    <x v="4"/>
    <x v="3"/>
    <x v="3"/>
    <x v="1"/>
    <n v="3.7"/>
  </r>
  <r>
    <s v="ORD0182"/>
    <s v="C009"/>
    <x v="8"/>
    <x v="7"/>
    <s v="Mobile Phone"/>
    <x v="0"/>
    <n v="4"/>
    <n v="33180"/>
    <n v="20"/>
    <n v="26544"/>
    <n v="106176"/>
    <s v="29-11-2024"/>
    <x v="4"/>
    <x v="3"/>
    <x v="0"/>
    <x v="1"/>
    <n v="3.7"/>
  </r>
  <r>
    <s v="ORD0183"/>
    <s v="C003"/>
    <x v="12"/>
    <x v="8"/>
    <s v="Mobile Phone"/>
    <x v="0"/>
    <n v="4"/>
    <n v="17070"/>
    <n v="10"/>
    <n v="6828"/>
    <n v="61452"/>
    <s v="13-02-2024"/>
    <x v="5"/>
    <x v="1"/>
    <x v="3"/>
    <x v="0"/>
    <m/>
  </r>
  <r>
    <s v="ORD0184"/>
    <s v="C001"/>
    <x v="1"/>
    <x v="1"/>
    <s v="Kurta"/>
    <x v="4"/>
    <n v="4"/>
    <n v="2480"/>
    <n v="20"/>
    <n v="1984"/>
    <n v="7936"/>
    <s v="24-09-2024"/>
    <x v="6"/>
    <x v="2"/>
    <x v="3"/>
    <x v="1"/>
    <n v="3.4"/>
  </r>
  <r>
    <s v="ORD0185"/>
    <s v="C005"/>
    <x v="13"/>
    <x v="4"/>
    <s v="Shampoo"/>
    <x v="3"/>
    <n v="4"/>
    <n v="660"/>
    <n v="20"/>
    <n v="528"/>
    <n v="2112"/>
    <s v="27-01-2024"/>
    <x v="1"/>
    <x v="1"/>
    <x v="2"/>
    <x v="1"/>
    <n v="2.7"/>
  </r>
  <r>
    <s v="ORD0186"/>
    <s v="C011"/>
    <x v="0"/>
    <x v="0"/>
    <s v="Shampoo"/>
    <x v="3"/>
    <n v="3"/>
    <n v="350"/>
    <n v="20"/>
    <n v="210"/>
    <n v="840"/>
    <s v="17-03-2024"/>
    <x v="10"/>
    <x v="1"/>
    <x v="2"/>
    <x v="1"/>
    <n v="4.2"/>
  </r>
  <r>
    <s v="ORD0187"/>
    <s v="C015"/>
    <x v="5"/>
    <x v="5"/>
    <s v="Face Cream"/>
    <x v="3"/>
    <n v="3"/>
    <n v="1460"/>
    <n v="15"/>
    <n v="657"/>
    <n v="3723"/>
    <s v="07-03-2024"/>
    <x v="10"/>
    <x v="1"/>
    <x v="3"/>
    <x v="0"/>
    <m/>
  </r>
  <r>
    <s v="ORD0188"/>
    <s v="C002"/>
    <x v="3"/>
    <x v="3"/>
    <s v="Formal Shoes"/>
    <x v="5"/>
    <n v="5"/>
    <n v="2820"/>
    <n v="10"/>
    <n v="1410"/>
    <n v="12690"/>
    <s v="06-03-2024"/>
    <x v="10"/>
    <x v="1"/>
    <x v="3"/>
    <x v="1"/>
    <n v="4.2"/>
  </r>
  <r>
    <s v="ORD0189"/>
    <s v="C009"/>
    <x v="8"/>
    <x v="7"/>
    <s v="Face Cream"/>
    <x v="3"/>
    <n v="1"/>
    <n v="740"/>
    <n v="5"/>
    <n v="37"/>
    <n v="703"/>
    <s v="19-04-2024"/>
    <x v="0"/>
    <x v="0"/>
    <x v="2"/>
    <x v="3"/>
    <m/>
  </r>
  <r>
    <s v="ORD0190"/>
    <s v="C008"/>
    <x v="7"/>
    <x v="3"/>
    <s v="Jeans"/>
    <x v="4"/>
    <n v="2"/>
    <n v="3500"/>
    <n v="5"/>
    <n v="350"/>
    <n v="6650"/>
    <s v="09-02-2024"/>
    <x v="5"/>
    <x v="1"/>
    <x v="2"/>
    <x v="2"/>
    <m/>
  </r>
  <r>
    <s v="ORD0191"/>
    <s v="C002"/>
    <x v="3"/>
    <x v="3"/>
    <s v="Notebook Set"/>
    <x v="1"/>
    <n v="5"/>
    <n v="360"/>
    <n v="20"/>
    <n v="360"/>
    <n v="1440"/>
    <s v="20-01-2024"/>
    <x v="1"/>
    <x v="1"/>
    <x v="2"/>
    <x v="3"/>
    <m/>
  </r>
  <r>
    <s v="ORD0192"/>
    <s v="C010"/>
    <x v="9"/>
    <x v="8"/>
    <s v="Smartwatch"/>
    <x v="0"/>
    <n v="5"/>
    <n v="8770"/>
    <n v="5"/>
    <n v="2192.5"/>
    <n v="41657.5"/>
    <s v="02-04-2024"/>
    <x v="0"/>
    <x v="0"/>
    <x v="3"/>
    <x v="2"/>
    <m/>
  </r>
  <r>
    <s v="ORD0193"/>
    <s v="C003"/>
    <x v="12"/>
    <x v="8"/>
    <s v="Novel Book"/>
    <x v="2"/>
    <n v="1"/>
    <n v="420"/>
    <n v="5"/>
    <n v="21"/>
    <n v="399"/>
    <s v="15-08-2024"/>
    <x v="2"/>
    <x v="2"/>
    <x v="3"/>
    <x v="1"/>
    <n v="4.4000000000000004"/>
  </r>
  <r>
    <s v="ORD0194"/>
    <s v="C008"/>
    <x v="7"/>
    <x v="3"/>
    <s v="Kurta"/>
    <x v="4"/>
    <n v="5"/>
    <n v="1210"/>
    <n v="15"/>
    <n v="907.5"/>
    <n v="5142.5"/>
    <s v="09-04-2024"/>
    <x v="0"/>
    <x v="0"/>
    <x v="2"/>
    <x v="0"/>
    <m/>
  </r>
  <r>
    <s v="ORD0195"/>
    <s v="C010"/>
    <x v="9"/>
    <x v="8"/>
    <s v="Novel Book"/>
    <x v="2"/>
    <n v="4"/>
    <n v="530"/>
    <n v="15"/>
    <n v="318"/>
    <n v="1802"/>
    <s v="14-09-2024"/>
    <x v="6"/>
    <x v="2"/>
    <x v="3"/>
    <x v="1"/>
    <n v="2.9"/>
  </r>
  <r>
    <s v="ORD0196"/>
    <s v="C004"/>
    <x v="11"/>
    <x v="5"/>
    <s v="Air Fryer"/>
    <x v="6"/>
    <n v="2"/>
    <n v="11110"/>
    <n v="0"/>
    <n v="0"/>
    <n v="22220"/>
    <s v="24-11-2024"/>
    <x v="4"/>
    <x v="3"/>
    <x v="4"/>
    <x v="3"/>
    <m/>
  </r>
  <r>
    <s v="ORD0197"/>
    <s v="C009"/>
    <x v="8"/>
    <x v="7"/>
    <s v="Headphones"/>
    <x v="0"/>
    <n v="5"/>
    <n v="7110"/>
    <n v="10"/>
    <n v="3555"/>
    <n v="31995"/>
    <s v="12-02-2024"/>
    <x v="5"/>
    <x v="1"/>
    <x v="0"/>
    <x v="1"/>
    <n v="4.8"/>
  </r>
  <r>
    <s v="ORD0198"/>
    <s v="C003"/>
    <x v="12"/>
    <x v="8"/>
    <s v="Perfume"/>
    <x v="3"/>
    <n v="1"/>
    <n v="3840"/>
    <n v="5"/>
    <n v="192"/>
    <n v="3648"/>
    <s v="18-08-2024"/>
    <x v="2"/>
    <x v="2"/>
    <x v="2"/>
    <x v="3"/>
    <m/>
  </r>
  <r>
    <s v="ORD0199"/>
    <s v="C007"/>
    <x v="6"/>
    <x v="6"/>
    <s v="Mobile Phone"/>
    <x v="0"/>
    <n v="4"/>
    <n v="25040"/>
    <n v="5"/>
    <n v="5008"/>
    <n v="95152"/>
    <s v="16-07-2024"/>
    <x v="11"/>
    <x v="2"/>
    <x v="1"/>
    <x v="1"/>
    <n v="2.6"/>
  </r>
  <r>
    <s v="ORD0200"/>
    <s v="C015"/>
    <x v="5"/>
    <x v="5"/>
    <s v="Headphones"/>
    <x v="0"/>
    <n v="3"/>
    <n v="6750"/>
    <n v="5"/>
    <n v="1012.5"/>
    <n v="19237.5"/>
    <s v="20-01-2024"/>
    <x v="1"/>
    <x v="1"/>
    <x v="2"/>
    <x v="3"/>
    <m/>
  </r>
  <r>
    <s v="ORD0201"/>
    <s v="C008"/>
    <x v="7"/>
    <x v="3"/>
    <s v="Smartwatch"/>
    <x v="0"/>
    <n v="4"/>
    <n v="9490"/>
    <n v="0"/>
    <n v="0"/>
    <n v="37960"/>
    <s v="10-02-2024"/>
    <x v="5"/>
    <x v="1"/>
    <x v="1"/>
    <x v="1"/>
    <n v="4.5999999999999996"/>
  </r>
  <r>
    <s v="ORD0202"/>
    <s v="C009"/>
    <x v="8"/>
    <x v="7"/>
    <s v="Air Fryer"/>
    <x v="6"/>
    <n v="5"/>
    <n v="7960"/>
    <n v="10"/>
    <n v="3980"/>
    <n v="35820"/>
    <s v="01-05-2024"/>
    <x v="3"/>
    <x v="0"/>
    <x v="2"/>
    <x v="1"/>
    <n v="3.1"/>
  </r>
  <r>
    <s v="ORD0203"/>
    <s v="C011"/>
    <x v="0"/>
    <x v="0"/>
    <s v="Air Fryer"/>
    <x v="6"/>
    <n v="4"/>
    <n v="5440"/>
    <n v="15"/>
    <n v="3264"/>
    <n v="18496"/>
    <s v="01-11-2024"/>
    <x v="4"/>
    <x v="3"/>
    <x v="3"/>
    <x v="1"/>
    <n v="3.8"/>
  </r>
  <r>
    <s v="ORD0204"/>
    <s v="C004"/>
    <x v="11"/>
    <x v="5"/>
    <s v="Smartwatch"/>
    <x v="0"/>
    <n v="3"/>
    <n v="9290"/>
    <n v="20"/>
    <n v="5574"/>
    <n v="22296"/>
    <s v="29-06-2024"/>
    <x v="7"/>
    <x v="0"/>
    <x v="0"/>
    <x v="0"/>
    <m/>
  </r>
  <r>
    <s v="ORD0205"/>
    <s v="C003"/>
    <x v="12"/>
    <x v="8"/>
    <s v="Tablet"/>
    <x v="0"/>
    <n v="5"/>
    <n v="39490"/>
    <n v="0"/>
    <n v="0"/>
    <n v="197450"/>
    <s v="26-09-2024"/>
    <x v="6"/>
    <x v="2"/>
    <x v="3"/>
    <x v="1"/>
    <n v="5"/>
  </r>
  <r>
    <s v="ORD0206"/>
    <s v="C009"/>
    <x v="8"/>
    <x v="7"/>
    <s v="Laptop"/>
    <x v="0"/>
    <n v="4"/>
    <n v="53730"/>
    <n v="0"/>
    <n v="0"/>
    <n v="214920"/>
    <s v="21-11-2024"/>
    <x v="4"/>
    <x v="3"/>
    <x v="4"/>
    <x v="4"/>
    <m/>
  </r>
  <r>
    <s v="ORD0207"/>
    <s v="C005"/>
    <x v="13"/>
    <x v="4"/>
    <s v="Laptop"/>
    <x v="0"/>
    <n v="3"/>
    <n v="52890"/>
    <n v="10"/>
    <n v="15867"/>
    <n v="142803"/>
    <s v="03-05-2024"/>
    <x v="3"/>
    <x v="0"/>
    <x v="1"/>
    <x v="2"/>
    <m/>
  </r>
  <r>
    <s v="ORD0208"/>
    <s v="C012"/>
    <x v="4"/>
    <x v="4"/>
    <s v="Sandals"/>
    <x v="5"/>
    <n v="2"/>
    <n v="570"/>
    <n v="20"/>
    <n v="228"/>
    <n v="912"/>
    <s v="22-06-2024"/>
    <x v="7"/>
    <x v="0"/>
    <x v="0"/>
    <x v="2"/>
    <m/>
  </r>
  <r>
    <s v="ORD0209"/>
    <s v="C011"/>
    <x v="0"/>
    <x v="0"/>
    <s v="Novel Book"/>
    <x v="2"/>
    <n v="4"/>
    <n v="490"/>
    <n v="5"/>
    <n v="98"/>
    <n v="1862"/>
    <s v="02-02-2024"/>
    <x v="5"/>
    <x v="1"/>
    <x v="4"/>
    <x v="1"/>
    <n v="3"/>
  </r>
  <r>
    <s v="ORD0210"/>
    <s v="C013"/>
    <x v="10"/>
    <x v="1"/>
    <s v="Jeans"/>
    <x v="4"/>
    <n v="1"/>
    <n v="1790"/>
    <n v="10"/>
    <n v="179"/>
    <n v="1611"/>
    <s v="20-09-2024"/>
    <x v="6"/>
    <x v="2"/>
    <x v="4"/>
    <x v="4"/>
    <m/>
  </r>
  <r>
    <s v="ORD0211"/>
    <s v="C009"/>
    <x v="8"/>
    <x v="7"/>
    <s v="Textbook"/>
    <x v="2"/>
    <n v="3"/>
    <n v="530"/>
    <n v="5"/>
    <n v="79.5"/>
    <n v="1510.5"/>
    <s v="26-05-2024"/>
    <x v="3"/>
    <x v="0"/>
    <x v="2"/>
    <x v="3"/>
    <m/>
  </r>
  <r>
    <s v="ORD0212"/>
    <s v="C001"/>
    <x v="1"/>
    <x v="1"/>
    <s v="Sandals"/>
    <x v="5"/>
    <n v="3"/>
    <n v="690"/>
    <n v="10"/>
    <n v="207"/>
    <n v="1863"/>
    <s v="11-08-2024"/>
    <x v="2"/>
    <x v="2"/>
    <x v="4"/>
    <x v="0"/>
    <m/>
  </r>
  <r>
    <s v="ORD0213"/>
    <s v="C015"/>
    <x v="5"/>
    <x v="5"/>
    <s v="Shampoo"/>
    <x v="3"/>
    <n v="3"/>
    <n v="780"/>
    <n v="15"/>
    <n v="351"/>
    <n v="1989"/>
    <s v="20-12-2024"/>
    <x v="9"/>
    <x v="3"/>
    <x v="4"/>
    <x v="1"/>
    <n v="4.5"/>
  </r>
  <r>
    <s v="ORD0214"/>
    <s v="C005"/>
    <x v="13"/>
    <x v="4"/>
    <s v="Tablet"/>
    <x v="0"/>
    <n v="4"/>
    <n v="21580"/>
    <n v="20"/>
    <n v="17264"/>
    <n v="69056"/>
    <s v="02-04-2024"/>
    <x v="0"/>
    <x v="0"/>
    <x v="3"/>
    <x v="1"/>
    <n v="2.8"/>
  </r>
  <r>
    <s v="ORD0215"/>
    <s v="C006"/>
    <x v="14"/>
    <x v="1"/>
    <s v="Formal Shoes"/>
    <x v="5"/>
    <n v="3"/>
    <n v="3060"/>
    <n v="15"/>
    <n v="1377"/>
    <n v="7803"/>
    <s v="26-03-2024"/>
    <x v="10"/>
    <x v="1"/>
    <x v="4"/>
    <x v="1"/>
    <n v="2.6"/>
  </r>
  <r>
    <s v="ORD0216"/>
    <s v="C014"/>
    <x v="2"/>
    <x v="2"/>
    <s v="Face Cream"/>
    <x v="3"/>
    <n v="5"/>
    <n v="1500"/>
    <n v="10"/>
    <n v="750"/>
    <n v="6750"/>
    <s v="23-11-2024"/>
    <x v="4"/>
    <x v="3"/>
    <x v="1"/>
    <x v="1"/>
    <n v="4.0999999999999996"/>
  </r>
  <r>
    <s v="ORD0217"/>
    <s v="C006"/>
    <x v="14"/>
    <x v="1"/>
    <s v="Notebook Set"/>
    <x v="1"/>
    <n v="2"/>
    <n v="390"/>
    <n v="5"/>
    <n v="39"/>
    <n v="741"/>
    <s v="07-11-2024"/>
    <x v="4"/>
    <x v="3"/>
    <x v="4"/>
    <x v="1"/>
    <n v="2.7"/>
  </r>
  <r>
    <s v="ORD0218"/>
    <s v="C013"/>
    <x v="10"/>
    <x v="1"/>
    <s v="Face Cream"/>
    <x v="3"/>
    <n v="3"/>
    <n v="760"/>
    <n v="20"/>
    <n v="456"/>
    <n v="1824"/>
    <s v="17-01-2024"/>
    <x v="1"/>
    <x v="1"/>
    <x v="3"/>
    <x v="1"/>
    <n v="3.6"/>
  </r>
  <r>
    <s v="ORD0219"/>
    <s v="C006"/>
    <x v="14"/>
    <x v="1"/>
    <s v="Face Cream"/>
    <x v="3"/>
    <n v="4"/>
    <n v="1220"/>
    <n v="20"/>
    <n v="976"/>
    <n v="3904"/>
    <s v="11-03-2024"/>
    <x v="10"/>
    <x v="1"/>
    <x v="3"/>
    <x v="1"/>
    <n v="3.3"/>
  </r>
  <r>
    <s v="ORD0220"/>
    <s v="C005"/>
    <x v="13"/>
    <x v="4"/>
    <s v="Kurta"/>
    <x v="4"/>
    <n v="1"/>
    <n v="840"/>
    <n v="5"/>
    <n v="42"/>
    <n v="798"/>
    <s v="12-09-2024"/>
    <x v="6"/>
    <x v="2"/>
    <x v="3"/>
    <x v="1"/>
    <n v="3.9"/>
  </r>
  <r>
    <s v="ORD0221"/>
    <s v="C005"/>
    <x v="13"/>
    <x v="4"/>
    <s v="Sneakers"/>
    <x v="5"/>
    <n v="4"/>
    <n v="2860"/>
    <n v="20"/>
    <n v="2288"/>
    <n v="9152"/>
    <s v="26-05-2024"/>
    <x v="3"/>
    <x v="0"/>
    <x v="4"/>
    <x v="1"/>
    <n v="2.8"/>
  </r>
  <r>
    <s v="ORD0222"/>
    <s v="C002"/>
    <x v="3"/>
    <x v="3"/>
    <s v="Novel Book"/>
    <x v="2"/>
    <n v="2"/>
    <n v="570"/>
    <n v="15"/>
    <n v="171"/>
    <n v="969"/>
    <s v="14-02-2024"/>
    <x v="5"/>
    <x v="1"/>
    <x v="2"/>
    <x v="0"/>
    <m/>
  </r>
  <r>
    <s v="ORD0223"/>
    <s v="C012"/>
    <x v="4"/>
    <x v="4"/>
    <s v="Tablet"/>
    <x v="0"/>
    <n v="5"/>
    <n v="30840"/>
    <n v="10"/>
    <n v="15420"/>
    <n v="138780"/>
    <s v="21-03-2024"/>
    <x v="10"/>
    <x v="1"/>
    <x v="0"/>
    <x v="2"/>
    <m/>
  </r>
  <r>
    <s v="ORD0224"/>
    <s v="C009"/>
    <x v="8"/>
    <x v="7"/>
    <s v="Kurta"/>
    <x v="4"/>
    <n v="1"/>
    <n v="2470"/>
    <n v="5"/>
    <n v="123.5"/>
    <n v="2346.5"/>
    <s v="01-05-2024"/>
    <x v="3"/>
    <x v="0"/>
    <x v="4"/>
    <x v="1"/>
    <n v="3.9"/>
  </r>
  <r>
    <s v="ORD0225"/>
    <s v="C006"/>
    <x v="14"/>
    <x v="1"/>
    <s v="Novel Book"/>
    <x v="2"/>
    <n v="5"/>
    <n v="340"/>
    <n v="0"/>
    <n v="0"/>
    <n v="1700"/>
    <s v="03-02-2024"/>
    <x v="5"/>
    <x v="1"/>
    <x v="2"/>
    <x v="1"/>
    <n v="4.3"/>
  </r>
  <r>
    <s v="ORD0226"/>
    <s v="C008"/>
    <x v="7"/>
    <x v="3"/>
    <s v="Notebook Set"/>
    <x v="1"/>
    <n v="4"/>
    <n v="340"/>
    <n v="20"/>
    <n v="272"/>
    <n v="1088"/>
    <s v="07-02-2024"/>
    <x v="5"/>
    <x v="1"/>
    <x v="0"/>
    <x v="4"/>
    <m/>
  </r>
  <r>
    <s v="ORD0227"/>
    <s v="C011"/>
    <x v="0"/>
    <x v="0"/>
    <s v="Tablet"/>
    <x v="0"/>
    <n v="4"/>
    <n v="29320"/>
    <n v="20"/>
    <n v="23456"/>
    <n v="93824"/>
    <s v="25-06-2024"/>
    <x v="7"/>
    <x v="0"/>
    <x v="0"/>
    <x v="3"/>
    <m/>
  </r>
  <r>
    <s v="ORD0228"/>
    <s v="C013"/>
    <x v="10"/>
    <x v="1"/>
    <s v="Pen Set"/>
    <x v="1"/>
    <n v="5"/>
    <n v="140"/>
    <n v="5"/>
    <n v="35"/>
    <n v="665"/>
    <s v="09-08-2024"/>
    <x v="2"/>
    <x v="2"/>
    <x v="3"/>
    <x v="3"/>
    <m/>
  </r>
  <r>
    <s v="ORD0229"/>
    <s v="C001"/>
    <x v="1"/>
    <x v="1"/>
    <s v="Headphones"/>
    <x v="0"/>
    <n v="5"/>
    <n v="2920"/>
    <n v="5"/>
    <n v="730"/>
    <n v="13870"/>
    <s v="23-03-2024"/>
    <x v="10"/>
    <x v="1"/>
    <x v="2"/>
    <x v="3"/>
    <m/>
  </r>
  <r>
    <s v="ORD0230"/>
    <s v="C004"/>
    <x v="11"/>
    <x v="5"/>
    <s v="Face Cream"/>
    <x v="3"/>
    <n v="5"/>
    <n v="1370"/>
    <n v="0"/>
    <n v="0"/>
    <n v="6850"/>
    <s v="08-05-2024"/>
    <x v="3"/>
    <x v="0"/>
    <x v="0"/>
    <x v="0"/>
    <m/>
  </r>
  <r>
    <s v="ORD0231"/>
    <s v="C009"/>
    <x v="8"/>
    <x v="7"/>
    <s v="Sneakers"/>
    <x v="5"/>
    <n v="2"/>
    <n v="4500"/>
    <n v="20"/>
    <n v="1800"/>
    <n v="7200"/>
    <s v="30-09-2024"/>
    <x v="6"/>
    <x v="2"/>
    <x v="1"/>
    <x v="1"/>
    <n v="2.9"/>
  </r>
  <r>
    <s v="ORD0232"/>
    <s v="C010"/>
    <x v="9"/>
    <x v="8"/>
    <s v="Smartwatch"/>
    <x v="0"/>
    <n v="2"/>
    <n v="11590"/>
    <n v="20"/>
    <n v="4636"/>
    <n v="18544"/>
    <s v="21-06-2024"/>
    <x v="7"/>
    <x v="0"/>
    <x v="3"/>
    <x v="1"/>
    <n v="4.7"/>
  </r>
  <r>
    <s v="ORD0233"/>
    <s v="C002"/>
    <x v="3"/>
    <x v="3"/>
    <s v="Mobile Phone"/>
    <x v="0"/>
    <n v="5"/>
    <n v="20290"/>
    <n v="5"/>
    <n v="5072.5"/>
    <n v="96377.5"/>
    <s v="19-10-2024"/>
    <x v="8"/>
    <x v="3"/>
    <x v="4"/>
    <x v="0"/>
    <m/>
  </r>
  <r>
    <s v="ORD0234"/>
    <s v="C001"/>
    <x v="1"/>
    <x v="1"/>
    <s v="Textbook"/>
    <x v="2"/>
    <n v="5"/>
    <n v="700"/>
    <n v="10"/>
    <n v="350"/>
    <n v="3150"/>
    <s v="04-09-2024"/>
    <x v="6"/>
    <x v="2"/>
    <x v="0"/>
    <x v="2"/>
    <m/>
  </r>
  <r>
    <s v="ORD0235"/>
    <s v="C011"/>
    <x v="0"/>
    <x v="0"/>
    <s v="Shampoo"/>
    <x v="3"/>
    <n v="3"/>
    <n v="470"/>
    <n v="0"/>
    <n v="0"/>
    <n v="1410"/>
    <s v="21-03-2024"/>
    <x v="10"/>
    <x v="1"/>
    <x v="4"/>
    <x v="1"/>
    <n v="3.7"/>
  </r>
  <r>
    <s v="ORD0236"/>
    <s v="C006"/>
    <x v="14"/>
    <x v="1"/>
    <s v="Air Fryer"/>
    <x v="6"/>
    <n v="2"/>
    <n v="7190"/>
    <n v="10"/>
    <n v="1438"/>
    <n v="12942"/>
    <s v="25-06-2024"/>
    <x v="7"/>
    <x v="0"/>
    <x v="4"/>
    <x v="1"/>
    <n v="3.4"/>
  </r>
  <r>
    <s v="ORD0237"/>
    <s v="C009"/>
    <x v="8"/>
    <x v="7"/>
    <s v="Headphones"/>
    <x v="0"/>
    <n v="3"/>
    <n v="3450"/>
    <n v="0"/>
    <n v="0"/>
    <n v="10350"/>
    <s v="16-05-2024"/>
    <x v="3"/>
    <x v="0"/>
    <x v="4"/>
    <x v="1"/>
    <n v="2.7"/>
  </r>
  <r>
    <s v="ORD0238"/>
    <s v="C005"/>
    <x v="13"/>
    <x v="4"/>
    <s v="Shampoo"/>
    <x v="3"/>
    <n v="5"/>
    <n v="450"/>
    <n v="5"/>
    <n v="112.5"/>
    <n v="2137.5"/>
    <s v="16-06-2024"/>
    <x v="7"/>
    <x v="0"/>
    <x v="3"/>
    <x v="0"/>
    <m/>
  </r>
  <r>
    <s v="ORD0239"/>
    <s v="C004"/>
    <x v="11"/>
    <x v="5"/>
    <s v="T-Shirt"/>
    <x v="4"/>
    <n v="4"/>
    <n v="1990"/>
    <n v="15"/>
    <n v="1194"/>
    <n v="6766"/>
    <s v="12-09-2024"/>
    <x v="6"/>
    <x v="2"/>
    <x v="2"/>
    <x v="1"/>
    <n v="2.7"/>
  </r>
  <r>
    <s v="ORD0240"/>
    <s v="C007"/>
    <x v="6"/>
    <x v="6"/>
    <s v="Notebook Set"/>
    <x v="1"/>
    <n v="4"/>
    <n v="390"/>
    <n v="5"/>
    <n v="78"/>
    <n v="1482"/>
    <s v="25-10-2024"/>
    <x v="8"/>
    <x v="3"/>
    <x v="2"/>
    <x v="1"/>
    <n v="3.2"/>
  </r>
  <r>
    <s v="ORD0241"/>
    <s v="C010"/>
    <x v="9"/>
    <x v="8"/>
    <s v="Textbook"/>
    <x v="2"/>
    <n v="3"/>
    <n v="880"/>
    <n v="0"/>
    <n v="0"/>
    <n v="2640"/>
    <s v="08-08-2024"/>
    <x v="2"/>
    <x v="2"/>
    <x v="0"/>
    <x v="3"/>
    <m/>
  </r>
  <r>
    <s v="ORD0242"/>
    <s v="C012"/>
    <x v="4"/>
    <x v="4"/>
    <s v="Face Cream"/>
    <x v="3"/>
    <n v="4"/>
    <n v="740"/>
    <n v="15"/>
    <n v="444"/>
    <n v="2516"/>
    <s v="27-01-2024"/>
    <x v="1"/>
    <x v="1"/>
    <x v="3"/>
    <x v="0"/>
    <m/>
  </r>
  <r>
    <s v="ORD0243"/>
    <s v="C006"/>
    <x v="14"/>
    <x v="1"/>
    <s v="Pen Set"/>
    <x v="1"/>
    <n v="3"/>
    <n v="110"/>
    <n v="20"/>
    <n v="66"/>
    <n v="264"/>
    <s v="18-08-2024"/>
    <x v="2"/>
    <x v="2"/>
    <x v="3"/>
    <x v="1"/>
    <n v="5"/>
  </r>
  <r>
    <s v="ORD0244"/>
    <s v="C011"/>
    <x v="0"/>
    <x v="0"/>
    <s v="Air Fryer"/>
    <x v="6"/>
    <n v="1"/>
    <n v="5900"/>
    <n v="0"/>
    <n v="0"/>
    <n v="5900"/>
    <s v="20-07-2024"/>
    <x v="11"/>
    <x v="2"/>
    <x v="2"/>
    <x v="2"/>
    <m/>
  </r>
  <r>
    <s v="ORD0245"/>
    <s v="C006"/>
    <x v="14"/>
    <x v="1"/>
    <s v="Pen Set"/>
    <x v="1"/>
    <n v="3"/>
    <n v="250"/>
    <n v="5"/>
    <n v="37.5"/>
    <n v="712.5"/>
    <s v="04-11-2024"/>
    <x v="4"/>
    <x v="3"/>
    <x v="3"/>
    <x v="1"/>
    <n v="2.6"/>
  </r>
  <r>
    <s v="ORD0246"/>
    <s v="C001"/>
    <x v="1"/>
    <x v="1"/>
    <s v="Smartwatch"/>
    <x v="0"/>
    <n v="3"/>
    <n v="13040"/>
    <n v="20"/>
    <n v="7824"/>
    <n v="31296"/>
    <s v="21-08-2024"/>
    <x v="2"/>
    <x v="2"/>
    <x v="0"/>
    <x v="0"/>
    <m/>
  </r>
  <r>
    <s v="ORD0247"/>
    <s v="C009"/>
    <x v="8"/>
    <x v="7"/>
    <s v="Smartwatch"/>
    <x v="0"/>
    <n v="3"/>
    <n v="14310"/>
    <n v="10"/>
    <n v="4293"/>
    <n v="38637"/>
    <s v="24-03-2024"/>
    <x v="10"/>
    <x v="1"/>
    <x v="4"/>
    <x v="4"/>
    <m/>
  </r>
  <r>
    <s v="ORD0248"/>
    <s v="C012"/>
    <x v="4"/>
    <x v="4"/>
    <s v="Formal Shoes"/>
    <x v="5"/>
    <n v="5"/>
    <n v="2680"/>
    <n v="20"/>
    <n v="2680"/>
    <n v="10720"/>
    <s v="29-09-2024"/>
    <x v="6"/>
    <x v="2"/>
    <x v="4"/>
    <x v="0"/>
    <m/>
  </r>
  <r>
    <s v="ORD0249"/>
    <s v="C005"/>
    <x v="13"/>
    <x v="4"/>
    <s v="Textbook"/>
    <x v="2"/>
    <n v="1"/>
    <n v="760"/>
    <n v="0"/>
    <n v="0"/>
    <n v="760"/>
    <s v="01-08-2024"/>
    <x v="2"/>
    <x v="2"/>
    <x v="3"/>
    <x v="1"/>
    <n v="4.7"/>
  </r>
  <r>
    <s v="ORD0250"/>
    <s v="C014"/>
    <x v="2"/>
    <x v="2"/>
    <s v="Laptop"/>
    <x v="0"/>
    <n v="5"/>
    <n v="49750"/>
    <n v="20"/>
    <n v="49750"/>
    <n v="199000"/>
    <s v="22-10-2024"/>
    <x v="8"/>
    <x v="3"/>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08733-7CEB-41DF-B44A-4774B25317E8}"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23">
  <location ref="A29:B34" firstHeaderRow="1" firstDataRow="1" firstDataCol="1"/>
  <pivotFields count="17">
    <pivotField dataField="1" compact="0" outline="0" showAll="0"/>
    <pivotField compact="0" outline="0" showAll="0"/>
    <pivotField compact="0" outline="0" showAll="0"/>
    <pivotField compact="0" outline="0" showAll="0">
      <items count="10">
        <item x="2"/>
        <item x="8"/>
        <item x="4"/>
        <item x="1"/>
        <item x="5"/>
        <item x="7"/>
        <item x="0"/>
        <item x="3"/>
        <item x="6"/>
        <item t="default"/>
      </items>
    </pivotField>
    <pivotField compact="0" outline="0" showAll="0"/>
    <pivotField compact="0" outline="0" showAll="0">
      <items count="8">
        <item x="6"/>
        <item x="3"/>
        <item x="2"/>
        <item x="4"/>
        <item x="0"/>
        <item x="5"/>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4"/>
        <item x="2"/>
        <item t="default"/>
      </items>
    </pivotField>
    <pivotField compact="0" outline="0" showAll="0"/>
    <pivotField compact="0" outline="0" showAll="0"/>
  </pivotFields>
  <rowFields count="1">
    <field x="14"/>
  </rowFields>
  <rowItems count="5">
    <i>
      <x/>
    </i>
    <i>
      <x v="1"/>
    </i>
    <i>
      <x v="2"/>
    </i>
    <i>
      <x v="3"/>
    </i>
    <i>
      <x v="4"/>
    </i>
  </rowItems>
  <colItems count="1">
    <i/>
  </colItems>
  <dataFields count="1">
    <dataField name="Count of Order_ID" fld="0" subtotal="count"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chartFormats count="6">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4" count="1" selected="0">
            <x v="0"/>
          </reference>
        </references>
      </pivotArea>
    </chartFormat>
    <chartFormat chart="7" format="19">
      <pivotArea type="data" outline="0" fieldPosition="0">
        <references count="2">
          <reference field="4294967294" count="1" selected="0">
            <x v="0"/>
          </reference>
          <reference field="14" count="1" selected="0">
            <x v="1"/>
          </reference>
        </references>
      </pivotArea>
    </chartFormat>
    <chartFormat chart="7" format="20">
      <pivotArea type="data" outline="0" fieldPosition="0">
        <references count="2">
          <reference field="4294967294" count="1" selected="0">
            <x v="0"/>
          </reference>
          <reference field="14" count="1" selected="0">
            <x v="2"/>
          </reference>
        </references>
      </pivotArea>
    </chartFormat>
    <chartFormat chart="7" format="21">
      <pivotArea type="data" outline="0" fieldPosition="0">
        <references count="2">
          <reference field="4294967294" count="1" selected="0">
            <x v="0"/>
          </reference>
          <reference field="14" count="1" selected="0">
            <x v="3"/>
          </reference>
        </references>
      </pivotArea>
    </chartFormat>
    <chartFormat chart="7" format="2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B8555D-AB94-472F-A1AD-18C2AB1E0F8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42:B54" firstHeaderRow="1" firstDataRow="1" firstDataCol="1"/>
  <pivotFields count="17">
    <pivotField dataField="1" compact="0" outline="0" showAll="0"/>
    <pivotField compact="0" outline="0" showAll="0"/>
    <pivotField compact="0" outline="0" showAll="0"/>
    <pivotField compact="0" outline="0" showAll="0">
      <items count="10">
        <item x="2"/>
        <item x="8"/>
        <item x="4"/>
        <item x="1"/>
        <item x="5"/>
        <item x="7"/>
        <item x="0"/>
        <item x="3"/>
        <item x="6"/>
        <item t="default"/>
      </items>
    </pivotField>
    <pivotField compact="0" outline="0" showAll="0"/>
    <pivotField compact="0" outline="0" showAll="0">
      <items count="8">
        <item x="6"/>
        <item x="3"/>
        <item x="2"/>
        <item x="4"/>
        <item x="0"/>
        <item x="5"/>
        <item x="1"/>
        <item t="default"/>
      </items>
    </pivotField>
    <pivotField compact="0" outline="0" showAll="0"/>
    <pivotField compact="0" outline="0" showAll="0"/>
    <pivotField compact="0" outline="0" showAll="0"/>
    <pivotField compact="0" outline="0" showAll="0"/>
    <pivotField compact="0" outline="0" showAll="0"/>
    <pivotField compact="0" outline="0" showAll="0"/>
    <pivotField name="Mmm" axis="axisRow" compact="0" outline="0" showAll="0" includeNewItemsInFilter="1" defaultSubtotal="0">
      <items count="23">
        <item m="1" x="13"/>
        <item m="1" x="16"/>
        <item m="1" x="21"/>
        <item m="1" x="12"/>
        <item x="3"/>
        <item m="1" x="18"/>
        <item m="1" x="22"/>
        <item m="1" x="14"/>
        <item m="1" x="17"/>
        <item m="1" x="19"/>
        <item m="1" x="15"/>
        <item m="1" x="20"/>
        <item x="0"/>
        <item x="1"/>
        <item x="2"/>
        <item x="4"/>
        <item x="5"/>
        <item x="6"/>
        <item x="7"/>
        <item x="8"/>
        <item x="9"/>
        <item x="10"/>
        <item x="11"/>
      </items>
    </pivotField>
    <pivotField compact="0" outline="0" showAll="0"/>
    <pivotField compact="0" outline="0" showAll="0"/>
    <pivotField compact="0" outline="0" showAll="0"/>
    <pivotField compact="0" outline="0" showAll="0"/>
  </pivotFields>
  <rowFields count="1">
    <field x="12"/>
  </rowFields>
  <rowItems count="12">
    <i>
      <x v="4"/>
    </i>
    <i>
      <x v="12"/>
    </i>
    <i>
      <x v="13"/>
    </i>
    <i>
      <x v="14"/>
    </i>
    <i>
      <x v="15"/>
    </i>
    <i>
      <x v="16"/>
    </i>
    <i>
      <x v="17"/>
    </i>
    <i>
      <x v="18"/>
    </i>
    <i>
      <x v="19"/>
    </i>
    <i>
      <x v="20"/>
    </i>
    <i>
      <x v="21"/>
    </i>
    <i>
      <x v="22"/>
    </i>
  </rowItems>
  <colItems count="1">
    <i/>
  </colItems>
  <dataFields count="1">
    <dataField name="Count of Order_ID" fld="0" subtotal="count"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EF168C-F9F6-4660-A898-FE46DED8E5F9}"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29:F34" firstHeaderRow="1" firstDataRow="1" firstDataCol="1"/>
  <pivotFields count="17">
    <pivotField dataField="1" compact="0" outline="0" showAll="0"/>
    <pivotField compact="0" outline="0" showAll="0"/>
    <pivotField compact="0" outline="0" showAll="0"/>
    <pivotField compact="0" outline="0" showAll="0">
      <items count="10">
        <item x="2"/>
        <item x="8"/>
        <item x="4"/>
        <item x="1"/>
        <item x="5"/>
        <item x="7"/>
        <item x="0"/>
        <item x="3"/>
        <item x="6"/>
        <item t="default"/>
      </items>
    </pivotField>
    <pivotField compact="0" outline="0" showAll="0"/>
    <pivotField compact="0" outline="0" showAll="0">
      <items count="8">
        <item x="6"/>
        <item x="3"/>
        <item x="2"/>
        <item x="4"/>
        <item x="0"/>
        <item x="5"/>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4"/>
        <item x="2"/>
        <item t="default"/>
      </items>
    </pivotField>
    <pivotField compact="0" outline="0" showAll="0"/>
    <pivotField compact="0" outline="0" showAll="0"/>
  </pivotFields>
  <rowFields count="1">
    <field x="14"/>
  </rowFields>
  <rowItems count="5">
    <i>
      <x/>
    </i>
    <i>
      <x v="1"/>
    </i>
    <i>
      <x v="2"/>
    </i>
    <i>
      <x v="3"/>
    </i>
    <i>
      <x v="4"/>
    </i>
  </rowItems>
  <colItems count="1">
    <i/>
  </colItems>
  <dataFields count="1">
    <dataField name="Count of Order_ID" fld="0" subtotal="count"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F8ED8-4108-44BD-8C89-F618A52E819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7">
    <pivotField showAll="0"/>
    <pivotField showAll="0"/>
    <pivotField showAll="0"/>
    <pivotField showAll="0">
      <items count="10">
        <item x="2"/>
        <item x="8"/>
        <item x="4"/>
        <item x="1"/>
        <item x="5"/>
        <item x="7"/>
        <item x="0"/>
        <item x="3"/>
        <item x="6"/>
        <item t="default"/>
      </items>
    </pivotField>
    <pivotField showAll="0"/>
    <pivotField showAll="0">
      <items count="8">
        <item x="6"/>
        <item x="3"/>
        <item x="2"/>
        <item x="4"/>
        <item x="0"/>
        <item x="5"/>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Discount_Amt" fld="9"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622FCC-F3F2-4A03-AF9D-634E1230AE4A}"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H29:I34" firstHeaderRow="1" firstDataRow="1" firstDataCol="1"/>
  <pivotFields count="17">
    <pivotField compact="0" outline="0" showAll="0"/>
    <pivotField compact="0" outline="0" showAll="0"/>
    <pivotField axis="axisRow" compact="0" outline="0" showAll="0" measureFilter="1">
      <items count="16">
        <item x="12"/>
        <item x="14"/>
        <item x="6"/>
        <item x="8"/>
        <item x="4"/>
        <item x="9"/>
        <item x="10"/>
        <item x="7"/>
        <item x="3"/>
        <item x="1"/>
        <item x="13"/>
        <item x="2"/>
        <item x="11"/>
        <item x="0"/>
        <item x="5"/>
        <item t="default"/>
      </items>
    </pivotField>
    <pivotField compact="0" outline="0" showAll="0">
      <items count="10">
        <item x="2"/>
        <item x="8"/>
        <item x="4"/>
        <item x="1"/>
        <item x="5"/>
        <item x="7"/>
        <item x="0"/>
        <item x="3"/>
        <item x="6"/>
        <item t="default"/>
      </items>
    </pivotField>
    <pivotField compact="0" outline="0" showAll="0"/>
    <pivotField compact="0" outline="0" showAll="0">
      <items count="8">
        <item x="6"/>
        <item x="3"/>
        <item x="2"/>
        <item x="4"/>
        <item x="0"/>
        <item x="5"/>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i>
    <i>
      <x v="3"/>
    </i>
    <i>
      <x v="5"/>
    </i>
    <i>
      <x v="11"/>
    </i>
    <i>
      <x v="13"/>
    </i>
  </rowItems>
  <colItems count="1">
    <i/>
  </colItems>
  <dataFields count="1">
    <dataField name="Sum of Total_Amount" fld="10"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84221E-3305-4CBA-BFF2-5ED3E336E806}"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31:L36" firstHeaderRow="1" firstDataRow="1" firstDataCol="1"/>
  <pivotFields count="17">
    <pivotField dataField="1" compact="0" outline="0" showAll="0"/>
    <pivotField compact="0" outline="0" showAll="0"/>
    <pivotField compact="0" outline="0" showAll="0"/>
    <pivotField compact="0" outline="0" showAll="0">
      <items count="10">
        <item x="2"/>
        <item x="8"/>
        <item x="4"/>
        <item x="1"/>
        <item x="5"/>
        <item x="7"/>
        <item x="0"/>
        <item x="3"/>
        <item x="6"/>
        <item t="default"/>
      </items>
    </pivotField>
    <pivotField compact="0" outline="0" showAll="0"/>
    <pivotField compact="0" outline="0" showAll="0">
      <items count="8">
        <item x="6"/>
        <item x="3"/>
        <item x="2"/>
        <item x="4"/>
        <item x="0"/>
        <item x="5"/>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1"/>
        <item x="2"/>
        <item x="4"/>
        <item x="0"/>
        <item t="default"/>
      </items>
    </pivotField>
    <pivotField compact="0" outline="0" showAll="0"/>
  </pivotFields>
  <rowFields count="1">
    <field x="15"/>
  </rowFields>
  <rowItems count="5">
    <i>
      <x/>
    </i>
    <i>
      <x v="1"/>
    </i>
    <i>
      <x v="2"/>
    </i>
    <i>
      <x v="3"/>
    </i>
    <i>
      <x v="4"/>
    </i>
  </rowItems>
  <colItems count="1">
    <i/>
  </colItems>
  <dataFields count="1">
    <dataField name="Count of Order_ID" fld="0" subtotal="count" baseField="0" baseItem="0"/>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A7D896-8960-40E6-AD54-CA6391700B37}"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57:F64" firstHeaderRow="1" firstDataRow="1" firstDataCol="1"/>
  <pivotFields count="17">
    <pivotField compact="0" outline="0" showAll="0"/>
    <pivotField compact="0" outline="0" showAll="0"/>
    <pivotField compact="0" outline="0" showAll="0"/>
    <pivotField compact="0" outline="0" showAll="0">
      <items count="10">
        <item x="2"/>
        <item x="8"/>
        <item x="4"/>
        <item x="1"/>
        <item x="5"/>
        <item x="7"/>
        <item x="0"/>
        <item x="3"/>
        <item x="6"/>
        <item t="default"/>
      </items>
    </pivotField>
    <pivotField compact="0" outline="0" showAll="0"/>
    <pivotField axis="axisRow" compact="0" outline="0" showAll="0">
      <items count="8">
        <item x="6"/>
        <item x="3"/>
        <item x="2"/>
        <item x="4"/>
        <item x="0"/>
        <item x="5"/>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5"/>
  </rowFields>
  <rowItems count="7">
    <i>
      <x/>
    </i>
    <i>
      <x v="1"/>
    </i>
    <i>
      <x v="2"/>
    </i>
    <i>
      <x v="3"/>
    </i>
    <i>
      <x v="4"/>
    </i>
    <i>
      <x v="5"/>
    </i>
    <i>
      <x v="6"/>
    </i>
  </rowItems>
  <colItems count="1">
    <i/>
  </colItems>
  <dataFields count="1">
    <dataField name="Average of Customer_Rating" fld="16" subtotal="average" baseField="5"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F819CF-4E30-4752-AED0-CDE96EE4072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59:B66" firstHeaderRow="1" firstDataRow="1" firstDataCol="1"/>
  <pivotFields count="17">
    <pivotField compact="0" outline="0" showAll="0"/>
    <pivotField compact="0" outline="0" showAll="0"/>
    <pivotField compact="0" outline="0" showAll="0"/>
    <pivotField compact="0" outline="0" showAll="0">
      <items count="10">
        <item x="2"/>
        <item x="8"/>
        <item x="4"/>
        <item x="1"/>
        <item x="5"/>
        <item x="7"/>
        <item x="0"/>
        <item x="3"/>
        <item x="6"/>
        <item t="default"/>
      </items>
    </pivotField>
    <pivotField compact="0" outline="0" showAll="0"/>
    <pivotField axis="axisRow" compact="0" outline="0" showAll="0">
      <items count="8">
        <item x="6"/>
        <item x="3"/>
        <item x="2"/>
        <item x="4"/>
        <item x="0"/>
        <item x="5"/>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7">
    <i>
      <x/>
    </i>
    <i>
      <x v="1"/>
    </i>
    <i>
      <x v="2"/>
    </i>
    <i>
      <x v="3"/>
    </i>
    <i>
      <x v="4"/>
    </i>
    <i>
      <x v="5"/>
    </i>
    <i>
      <x v="6"/>
    </i>
  </rowItems>
  <colItems count="1">
    <i/>
  </colItems>
  <dataFields count="1">
    <dataField name="Sum of Total_Amount" fld="10" baseField="0" baseItem="0"/>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7D6BC4-3CA2-4933-96B1-7A668F42DCC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0:A11" firstHeaderRow="1" firstDataRow="1" firstDataCol="0"/>
  <pivotFields count="17">
    <pivotField compact="0" outline="0" showAll="0"/>
    <pivotField compact="0" outline="0" showAll="0"/>
    <pivotField compact="0" outline="0" showAll="0"/>
    <pivotField compact="0" outline="0" showAll="0">
      <items count="10">
        <item x="2"/>
        <item x="8"/>
        <item x="4"/>
        <item x="1"/>
        <item x="5"/>
        <item x="7"/>
        <item x="0"/>
        <item x="3"/>
        <item x="6"/>
        <item t="default"/>
      </items>
    </pivotField>
    <pivotField compact="0" outline="0" showAll="0"/>
    <pivotField compact="0" outline="0" showAll="0">
      <items count="8">
        <item x="6"/>
        <item x="3"/>
        <item x="2"/>
        <item x="4"/>
        <item x="0"/>
        <item x="5"/>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Total_Amount" fld="10" baseField="0" baseItem="0"/>
  </dataFields>
  <formats count="6">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039295-A808-4CAD-997F-95B5B1EBFC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pivotField showAll="0">
      <items count="10">
        <item x="2"/>
        <item x="8"/>
        <item x="4"/>
        <item x="1"/>
        <item x="5"/>
        <item x="7"/>
        <item x="0"/>
        <item x="3"/>
        <item x="6"/>
        <item t="default"/>
      </items>
    </pivotField>
    <pivotField showAll="0"/>
    <pivotField showAll="0">
      <items count="8">
        <item x="6"/>
        <item x="3"/>
        <item x="2"/>
        <item x="4"/>
        <item x="0"/>
        <item x="5"/>
        <item x="1"/>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E7F897-229C-4197-81E0-8B3C92E126E2}"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F42:J50" firstHeaderRow="1" firstDataRow="2" firstDataCol="1"/>
  <pivotFields count="17">
    <pivotField compact="0" outline="0" showAll="0"/>
    <pivotField compact="0" outline="0" showAll="0"/>
    <pivotField compact="0" outline="0" showAll="0"/>
    <pivotField compact="0" outline="0" showAll="0">
      <items count="10">
        <item x="2"/>
        <item x="8"/>
        <item x="4"/>
        <item x="1"/>
        <item x="5"/>
        <item x="7"/>
        <item x="0"/>
        <item x="3"/>
        <item x="6"/>
        <item t="default"/>
      </items>
    </pivotField>
    <pivotField compact="0" outline="0" showAll="0"/>
    <pivotField axis="axisRow" compact="0" outline="0" showAll="0">
      <items count="8">
        <item x="6"/>
        <item x="3"/>
        <item x="2"/>
        <item x="4"/>
        <item x="0"/>
        <item x="5"/>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Col" compact="0" outline="0" showAll="0">
      <items count="5">
        <item x="1"/>
        <item x="0"/>
        <item x="2"/>
        <item x="3"/>
        <item t="default"/>
      </items>
    </pivotField>
    <pivotField compact="0" outline="0" showAll="0"/>
    <pivotField compact="0" outline="0" showAll="0"/>
    <pivotField compact="0" outline="0" showAll="0"/>
  </pivotFields>
  <rowFields count="1">
    <field x="5"/>
  </rowFields>
  <rowItems count="7">
    <i>
      <x/>
    </i>
    <i>
      <x v="1"/>
    </i>
    <i>
      <x v="2"/>
    </i>
    <i>
      <x v="3"/>
    </i>
    <i>
      <x v="4"/>
    </i>
    <i>
      <x v="5"/>
    </i>
    <i>
      <x v="6"/>
    </i>
  </rowItems>
  <colFields count="1">
    <field x="13"/>
  </colFields>
  <colItems count="4">
    <i>
      <x/>
    </i>
    <i>
      <x v="1"/>
    </i>
    <i>
      <x v="2"/>
    </i>
    <i>
      <x v="3"/>
    </i>
  </colItems>
  <dataFields count="1">
    <dataField name="Sum of Total_Amount" fld="10" baseField="0" baseItem="0"/>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chartFormats count="8">
    <chartFormat chart="8" format="20" series="1">
      <pivotArea type="data" outline="0" fieldPosition="0">
        <references count="2">
          <reference field="4294967294" count="1" selected="0">
            <x v="0"/>
          </reference>
          <reference field="13" count="1" selected="0">
            <x v="0"/>
          </reference>
        </references>
      </pivotArea>
    </chartFormat>
    <chartFormat chart="8" format="21" series="1">
      <pivotArea type="data" outline="0" fieldPosition="0">
        <references count="2">
          <reference field="4294967294" count="1" selected="0">
            <x v="0"/>
          </reference>
          <reference field="13" count="1" selected="0">
            <x v="1"/>
          </reference>
        </references>
      </pivotArea>
    </chartFormat>
    <chartFormat chart="8" format="22" series="1">
      <pivotArea type="data" outline="0" fieldPosition="0">
        <references count="2">
          <reference field="4294967294" count="1" selected="0">
            <x v="0"/>
          </reference>
          <reference field="13" count="1" selected="0">
            <x v="2"/>
          </reference>
        </references>
      </pivotArea>
    </chartFormat>
    <chartFormat chart="8" format="23" series="1">
      <pivotArea type="data" outline="0" fieldPosition="0">
        <references count="2">
          <reference field="4294967294" count="1" selected="0">
            <x v="0"/>
          </reference>
          <reference field="13" count="1" selected="0">
            <x v="3"/>
          </reference>
        </references>
      </pivotArea>
    </chartFormat>
    <chartFormat chart="9" format="24" series="1">
      <pivotArea type="data" outline="0" fieldPosition="0">
        <references count="2">
          <reference field="4294967294" count="1" selected="0">
            <x v="0"/>
          </reference>
          <reference field="13" count="1" selected="0">
            <x v="0"/>
          </reference>
        </references>
      </pivotArea>
    </chartFormat>
    <chartFormat chart="9" format="25" series="1">
      <pivotArea type="data" outline="0" fieldPosition="0">
        <references count="2">
          <reference field="4294967294" count="1" selected="0">
            <x v="0"/>
          </reference>
          <reference field="13" count="1" selected="0">
            <x v="1"/>
          </reference>
        </references>
      </pivotArea>
    </chartFormat>
    <chartFormat chart="9" format="26" series="1">
      <pivotArea type="data" outline="0" fieldPosition="0">
        <references count="2">
          <reference field="4294967294" count="1" selected="0">
            <x v="0"/>
          </reference>
          <reference field="13" count="1" selected="0">
            <x v="2"/>
          </reference>
        </references>
      </pivotArea>
    </chartFormat>
    <chartFormat chart="9" format="27"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B892D6-6305-41D2-9F61-1286687550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F18" firstHeaderRow="1" firstDataRow="1" firstDataCol="0"/>
  <pivotFields count="17">
    <pivotField showAll="0"/>
    <pivotField showAll="0"/>
    <pivotField showAll="0"/>
    <pivotField showAll="0">
      <items count="10">
        <item x="2"/>
        <item x="8"/>
        <item x="4"/>
        <item x="1"/>
        <item x="5"/>
        <item x="7"/>
        <item x="0"/>
        <item x="3"/>
        <item x="6"/>
        <item t="default"/>
      </items>
    </pivotField>
    <pivotField showAll="0"/>
    <pivotField showAll="0">
      <items count="8">
        <item x="6"/>
        <item x="3"/>
        <item x="2"/>
        <item x="4"/>
        <item x="0"/>
        <item x="5"/>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Customer_Rating" fld="16" subtotal="average" baseField="0" baseItem="0"/>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C94136-21F9-406F-9BD2-341F82FB80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F11" firstHeaderRow="1" firstDataRow="1" firstDataCol="0"/>
  <pivotFields count="17">
    <pivotField showAll="0"/>
    <pivotField showAll="0"/>
    <pivotField showAll="0"/>
    <pivotField showAll="0">
      <items count="10">
        <item x="2"/>
        <item x="8"/>
        <item x="4"/>
        <item x="1"/>
        <item x="5"/>
        <item x="7"/>
        <item x="0"/>
        <item x="3"/>
        <item x="6"/>
        <item t="default"/>
      </items>
    </pivotField>
    <pivotField showAll="0"/>
    <pivotField showAll="0">
      <items count="8">
        <item x="6"/>
        <item x="3"/>
        <item x="2"/>
        <item x="4"/>
        <item x="0"/>
        <item x="5"/>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Total_Amount" fld="10" subtotal="average" baseField="0" baseItem="0"/>
  </dataFields>
  <formats count="3">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517C9F-146E-4246-91D5-E00317E9173E}" sourceName="Category">
  <pivotTables>
    <pivotTable tabId="16" name="PivotTable10"/>
    <pivotTable tabId="16" name="PivotTable1"/>
    <pivotTable tabId="16" name="PivotTable11"/>
    <pivotTable tabId="16" name="PivotTable12"/>
    <pivotTable tabId="16" name="PivotTable13"/>
    <pivotTable tabId="16" name="PivotTable14"/>
    <pivotTable tabId="16" name="PivotTable15"/>
    <pivotTable tabId="16" name="PivotTable16"/>
    <pivotTable tabId="16" name="PivotTable3"/>
    <pivotTable tabId="16" name="PivotTable4"/>
    <pivotTable tabId="16" name="PivotTable5"/>
    <pivotTable tabId="16" name="PivotTable6"/>
    <pivotTable tabId="16" name="PivotTable9"/>
  </pivotTables>
  <data>
    <tabular pivotCacheId="402140178">
      <items count="7">
        <i x="6" s="1"/>
        <i x="3" s="1"/>
        <i x="2" s="1"/>
        <i x="4"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675A3BF-4992-4510-8730-E4668ECFBBD4}" sourceName="City">
  <pivotTables>
    <pivotTable tabId="16" name="PivotTable4"/>
    <pivotTable tabId="16" name="PivotTable1"/>
    <pivotTable tabId="16" name="PivotTable10"/>
    <pivotTable tabId="16" name="PivotTable11"/>
    <pivotTable tabId="16" name="PivotTable12"/>
    <pivotTable tabId="16" name="PivotTable13"/>
    <pivotTable tabId="16" name="PivotTable14"/>
    <pivotTable tabId="16" name="PivotTable15"/>
    <pivotTable tabId="16" name="PivotTable16"/>
    <pivotTable tabId="16" name="PivotTable3"/>
    <pivotTable tabId="16" name="PivotTable5"/>
    <pivotTable tabId="16" name="PivotTable6"/>
    <pivotTable tabId="16" name="PivotTable9"/>
  </pivotTables>
  <data>
    <tabular pivotCacheId="402140178">
      <items count="9">
        <i x="2" s="1"/>
        <i x="8" s="1"/>
        <i x="4" s="1"/>
        <i x="1" s="1"/>
        <i x="5" s="1"/>
        <i x="7" s="1"/>
        <i x="0"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2C4892C-2860-48F5-BE19-D5B12C24D656}" cache="Slicer_Category" caption="Category" style="SlicerStyleLight6" rowHeight="241300"/>
  <slicer name="City 1" xr10:uid="{8AA85577-9AB5-4C8B-924B-36EA1BCFEC4B}" cache="Slicer_City" caption="City"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3342654-AFC8-4F72-9427-9D9505D3B07F}" cache="Slicer_City" caption="City"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6A29-700D-48BE-95AA-5D98EE68F335}">
  <sheetPr codeName="Sheet1"/>
  <dimension ref="B4:H5"/>
  <sheetViews>
    <sheetView showGridLines="0" tabSelected="1" zoomScaleNormal="100" workbookViewId="0">
      <selection activeCell="P32" sqref="P32"/>
    </sheetView>
  </sheetViews>
  <sheetFormatPr defaultRowHeight="15" x14ac:dyDescent="0.25"/>
  <sheetData>
    <row r="4" spans="2:8" x14ac:dyDescent="0.25">
      <c r="H4" s="10"/>
    </row>
    <row r="5" spans="2:8" x14ac:dyDescent="0.25">
      <c r="B5" t="e">
        <f>GETPIVOTDATA("Total_Amount",Analysis_Report!$A$29)</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81B82-2CDE-42C8-BF54-0C5FFCD9C404}">
  <sheetPr codeName="Sheet2"/>
  <dimension ref="A1:L66"/>
  <sheetViews>
    <sheetView topLeftCell="A24" zoomScale="90" zoomScaleNormal="90" workbookViewId="0">
      <selection activeCell="A32" sqref="A30:A34"/>
      <pivotSelection pane="bottomRight" showHeader="1" activeRow="31" click="1" r:id="rId1">
        <pivotArea dataOnly="0" labelOnly="1" outline="0" fieldPosition="0">
          <references count="1">
            <reference field="14" count="0"/>
          </references>
        </pivotArea>
      </pivotSelection>
    </sheetView>
  </sheetViews>
  <sheetFormatPr defaultRowHeight="15" x14ac:dyDescent="0.25"/>
  <cols>
    <col min="1" max="4" width="20.42578125" bestFit="1" customWidth="1"/>
    <col min="5" max="5" width="11.42578125" bestFit="1" customWidth="1"/>
    <col min="6" max="6" width="24" bestFit="1" customWidth="1"/>
    <col min="7" max="7" width="10.5703125" bestFit="1" customWidth="1"/>
    <col min="8" max="8" width="18.5703125" bestFit="1" customWidth="1"/>
    <col min="9" max="9" width="20.42578125" bestFit="1" customWidth="1"/>
    <col min="10" max="10" width="10" bestFit="1" customWidth="1"/>
    <col min="11" max="11" width="15.28515625" bestFit="1" customWidth="1"/>
    <col min="12" max="12" width="17.28515625" bestFit="1" customWidth="1"/>
    <col min="13" max="13" width="20.42578125" bestFit="1" customWidth="1"/>
  </cols>
  <sheetData>
    <row r="1" spans="1:12" x14ac:dyDescent="0.25">
      <c r="B1" s="19" t="s">
        <v>540</v>
      </c>
      <c r="C1" s="20"/>
      <c r="D1" s="20"/>
      <c r="E1" s="20"/>
      <c r="F1" s="20"/>
      <c r="L1" s="6" t="s">
        <v>530</v>
      </c>
    </row>
    <row r="2" spans="1:12" x14ac:dyDescent="0.25">
      <c r="B2" s="20"/>
      <c r="C2" s="20"/>
      <c r="D2" s="20"/>
      <c r="E2" s="20"/>
      <c r="F2" s="20"/>
      <c r="L2" s="7" t="s">
        <v>531</v>
      </c>
    </row>
    <row r="3" spans="1:12" x14ac:dyDescent="0.25">
      <c r="A3" s="8" t="s">
        <v>539</v>
      </c>
      <c r="B3" s="8"/>
      <c r="C3" s="8"/>
      <c r="D3" s="8"/>
      <c r="F3" s="8" t="s">
        <v>541</v>
      </c>
      <c r="G3" s="8"/>
      <c r="L3" s="6" t="s">
        <v>532</v>
      </c>
    </row>
    <row r="4" spans="1:12" x14ac:dyDescent="0.25">
      <c r="A4" s="26">
        <v>250</v>
      </c>
      <c r="B4" s="8"/>
      <c r="C4" s="8"/>
      <c r="D4" s="8"/>
      <c r="F4" s="26">
        <v>657107</v>
      </c>
      <c r="G4" s="8"/>
      <c r="L4" s="7" t="s">
        <v>533</v>
      </c>
    </row>
    <row r="5" spans="1:12" ht="18" x14ac:dyDescent="0.25">
      <c r="A5" s="8"/>
      <c r="B5" s="8"/>
      <c r="C5" s="8"/>
      <c r="D5" s="8"/>
      <c r="F5" s="8"/>
      <c r="G5" s="8"/>
      <c r="I5" s="17" t="s">
        <v>545</v>
      </c>
      <c r="L5" s="6" t="s">
        <v>534</v>
      </c>
    </row>
    <row r="6" spans="1:12" x14ac:dyDescent="0.25">
      <c r="A6" s="9" t="s">
        <v>539</v>
      </c>
      <c r="B6" s="8"/>
      <c r="C6" s="8"/>
      <c r="D6" s="8"/>
      <c r="F6" s="8"/>
      <c r="G6" s="8"/>
      <c r="L6" s="7" t="s">
        <v>535</v>
      </c>
    </row>
    <row r="7" spans="1:12" x14ac:dyDescent="0.25">
      <c r="A7" s="8">
        <f>GETPIVOTDATA("Order_ID",$A$3)</f>
        <v>250</v>
      </c>
      <c r="B7" s="8"/>
      <c r="C7" s="8"/>
      <c r="D7" s="8"/>
      <c r="F7" s="9" t="s">
        <v>541</v>
      </c>
      <c r="G7" s="8"/>
      <c r="I7" s="18" t="s">
        <v>546</v>
      </c>
      <c r="L7" s="6" t="s">
        <v>536</v>
      </c>
    </row>
    <row r="8" spans="1:12" x14ac:dyDescent="0.25">
      <c r="A8" s="8"/>
      <c r="B8" s="8"/>
      <c r="C8" s="8"/>
      <c r="D8" s="8"/>
      <c r="F8" s="16">
        <f>GETPIVOTDATA("Discount_Amt",$F$3)</f>
        <v>657107</v>
      </c>
      <c r="G8" s="8"/>
      <c r="L8" s="7" t="s">
        <v>537</v>
      </c>
    </row>
    <row r="9" spans="1:12" x14ac:dyDescent="0.25">
      <c r="I9" s="18" t="s">
        <v>547</v>
      </c>
    </row>
    <row r="10" spans="1:12" x14ac:dyDescent="0.25">
      <c r="A10" s="8" t="s">
        <v>538</v>
      </c>
      <c r="B10" s="8"/>
      <c r="C10" s="8"/>
      <c r="D10" s="8"/>
      <c r="F10" s="8" t="s">
        <v>542</v>
      </c>
      <c r="G10" s="8"/>
    </row>
    <row r="11" spans="1:12" x14ac:dyDescent="0.25">
      <c r="A11" s="26">
        <v>5205583</v>
      </c>
      <c r="B11" s="8"/>
      <c r="C11" s="8"/>
      <c r="D11" s="8"/>
      <c r="F11" s="26">
        <v>20822.331999999999</v>
      </c>
      <c r="G11" s="8"/>
      <c r="I11" s="18" t="s">
        <v>548</v>
      </c>
    </row>
    <row r="12" spans="1:12" x14ac:dyDescent="0.25">
      <c r="A12" s="8"/>
      <c r="B12" s="8"/>
      <c r="C12" s="8"/>
      <c r="D12" s="8"/>
      <c r="F12" s="8"/>
      <c r="G12" s="8"/>
      <c r="L12" s="4" t="s">
        <v>525</v>
      </c>
    </row>
    <row r="13" spans="1:12" x14ac:dyDescent="0.25">
      <c r="A13" s="9" t="s">
        <v>538</v>
      </c>
      <c r="B13" s="8"/>
      <c r="C13" s="8"/>
      <c r="D13" s="8"/>
      <c r="F13" s="9" t="s">
        <v>542</v>
      </c>
      <c r="G13" s="8"/>
      <c r="I13" s="18" t="s">
        <v>549</v>
      </c>
      <c r="L13" s="5" t="s">
        <v>526</v>
      </c>
    </row>
    <row r="14" spans="1:12" x14ac:dyDescent="0.25">
      <c r="A14" s="15">
        <f>GETPIVOTDATA("Total_Amount",$A$10)</f>
        <v>5205583</v>
      </c>
      <c r="B14" s="8"/>
      <c r="C14" s="8"/>
      <c r="D14" s="8"/>
      <c r="F14" s="12">
        <f>GETPIVOTDATA("Total_Amount",$F$10)</f>
        <v>20822.331999999999</v>
      </c>
      <c r="G14" s="8"/>
      <c r="L14" s="4" t="s">
        <v>527</v>
      </c>
    </row>
    <row r="15" spans="1:12" x14ac:dyDescent="0.25">
      <c r="A15" s="8"/>
      <c r="B15" s="8"/>
      <c r="C15" s="8"/>
      <c r="D15" s="8"/>
      <c r="I15" s="18" t="s">
        <v>550</v>
      </c>
      <c r="L15" s="5" t="s">
        <v>528</v>
      </c>
    </row>
    <row r="16" spans="1:12" x14ac:dyDescent="0.25">
      <c r="A16" s="8"/>
      <c r="B16" s="8"/>
      <c r="C16" s="8"/>
      <c r="D16" s="8"/>
      <c r="L16" s="4" t="s">
        <v>529</v>
      </c>
    </row>
    <row r="17" spans="1:12" x14ac:dyDescent="0.25">
      <c r="A17" s="8"/>
      <c r="B17" s="8"/>
      <c r="C17" s="8"/>
      <c r="D17" s="8"/>
      <c r="F17" s="8" t="s">
        <v>543</v>
      </c>
      <c r="G17" s="8"/>
      <c r="I17" s="18" t="s">
        <v>551</v>
      </c>
    </row>
    <row r="18" spans="1:12" x14ac:dyDescent="0.25">
      <c r="F18" s="26">
        <v>4.1422077922077936</v>
      </c>
      <c r="G18" s="8"/>
    </row>
    <row r="19" spans="1:12" x14ac:dyDescent="0.25">
      <c r="F19" s="8"/>
      <c r="G19" s="8"/>
      <c r="I19" s="18" t="s">
        <v>552</v>
      </c>
    </row>
    <row r="20" spans="1:12" x14ac:dyDescent="0.25">
      <c r="F20" s="9" t="s">
        <v>543</v>
      </c>
      <c r="G20" s="8"/>
    </row>
    <row r="21" spans="1:12" x14ac:dyDescent="0.25">
      <c r="F21" s="11">
        <f>GETPIVOTDATA("Customer_Rating",$F$17)</f>
        <v>4.1422077922077936</v>
      </c>
      <c r="G21" s="8"/>
      <c r="I21" s="18" t="s">
        <v>553</v>
      </c>
    </row>
    <row r="23" spans="1:12" ht="15" customHeight="1" x14ac:dyDescent="0.25">
      <c r="A23" s="21" t="s">
        <v>544</v>
      </c>
      <c r="B23" s="21"/>
      <c r="C23" s="21"/>
      <c r="D23" s="21"/>
      <c r="E23" s="21"/>
      <c r="F23" s="21"/>
      <c r="G23" s="21"/>
      <c r="H23" s="21"/>
      <c r="I23" s="21"/>
      <c r="J23" s="21"/>
      <c r="K23" s="21"/>
    </row>
    <row r="24" spans="1:12" x14ac:dyDescent="0.25">
      <c r="A24" s="21"/>
      <c r="B24" s="21"/>
      <c r="C24" s="21"/>
      <c r="D24" s="21"/>
      <c r="E24" s="21"/>
      <c r="F24" s="21"/>
      <c r="G24" s="21"/>
      <c r="H24" s="21"/>
      <c r="I24" s="21"/>
      <c r="J24" s="21"/>
      <c r="K24" s="21"/>
    </row>
    <row r="25" spans="1:12" x14ac:dyDescent="0.25">
      <c r="A25" s="21"/>
      <c r="B25" s="21"/>
      <c r="C25" s="21"/>
      <c r="D25" s="21"/>
      <c r="E25" s="21"/>
      <c r="F25" s="21"/>
      <c r="G25" s="21"/>
      <c r="H25" s="21"/>
      <c r="I25" s="21"/>
      <c r="J25" s="21"/>
      <c r="K25" s="21"/>
    </row>
    <row r="27" spans="1:12" x14ac:dyDescent="0.25">
      <c r="A27" s="22" t="s">
        <v>530</v>
      </c>
      <c r="B27" s="23"/>
      <c r="E27" s="22" t="s">
        <v>533</v>
      </c>
      <c r="F27" s="23"/>
      <c r="H27" s="22" t="s">
        <v>536</v>
      </c>
      <c r="I27" s="23"/>
    </row>
    <row r="29" spans="1:12" x14ac:dyDescent="0.25">
      <c r="A29" s="14" t="s">
        <v>15</v>
      </c>
      <c r="B29" s="8" t="s">
        <v>539</v>
      </c>
      <c r="E29" s="14" t="s">
        <v>15</v>
      </c>
      <c r="F29" s="8" t="s">
        <v>539</v>
      </c>
      <c r="H29" s="14" t="s">
        <v>3</v>
      </c>
      <c r="I29" s="8" t="s">
        <v>538</v>
      </c>
      <c r="K29" s="22" t="s">
        <v>535</v>
      </c>
      <c r="L29" s="23"/>
    </row>
    <row r="30" spans="1:12" x14ac:dyDescent="0.25">
      <c r="A30" s="8" t="s">
        <v>64</v>
      </c>
      <c r="B30" s="26">
        <v>58</v>
      </c>
      <c r="E30" s="8" t="s">
        <v>64</v>
      </c>
      <c r="F30" s="26">
        <v>58</v>
      </c>
      <c r="H30" s="8" t="s">
        <v>143</v>
      </c>
      <c r="I30" s="26">
        <v>607445</v>
      </c>
    </row>
    <row r="31" spans="1:12" x14ac:dyDescent="0.25">
      <c r="A31" s="8" t="s">
        <v>33</v>
      </c>
      <c r="B31" s="26">
        <v>34</v>
      </c>
      <c r="E31" s="8" t="s">
        <v>33</v>
      </c>
      <c r="F31" s="26">
        <v>34</v>
      </c>
      <c r="H31" s="8" t="s">
        <v>104</v>
      </c>
      <c r="I31" s="26">
        <v>766618</v>
      </c>
      <c r="K31" s="14" t="s">
        <v>16</v>
      </c>
      <c r="L31" s="8" t="s">
        <v>539</v>
      </c>
    </row>
    <row r="32" spans="1:12" x14ac:dyDescent="0.25">
      <c r="A32" s="8" t="s">
        <v>26</v>
      </c>
      <c r="B32" s="26">
        <v>56</v>
      </c>
      <c r="E32" s="8" t="s">
        <v>26</v>
      </c>
      <c r="F32" s="26">
        <v>56</v>
      </c>
      <c r="H32" s="8" t="s">
        <v>115</v>
      </c>
      <c r="I32" s="26">
        <v>399555.5</v>
      </c>
      <c r="K32" s="8" t="s">
        <v>112</v>
      </c>
      <c r="L32" s="26">
        <v>30</v>
      </c>
    </row>
    <row r="33" spans="1:12" x14ac:dyDescent="0.25">
      <c r="A33" s="8" t="s">
        <v>93</v>
      </c>
      <c r="B33" s="26">
        <v>50</v>
      </c>
      <c r="E33" s="8" t="s">
        <v>93</v>
      </c>
      <c r="F33" s="26">
        <v>50</v>
      </c>
      <c r="H33" s="8" t="s">
        <v>43</v>
      </c>
      <c r="I33" s="26">
        <v>426561</v>
      </c>
      <c r="K33" s="8" t="s">
        <v>34</v>
      </c>
      <c r="L33" s="26">
        <v>132</v>
      </c>
    </row>
    <row r="34" spans="1:12" x14ac:dyDescent="0.25">
      <c r="A34" s="8" t="s">
        <v>55</v>
      </c>
      <c r="B34" s="26">
        <v>52</v>
      </c>
      <c r="E34" s="8" t="s">
        <v>55</v>
      </c>
      <c r="F34" s="26">
        <v>52</v>
      </c>
      <c r="H34" s="8" t="s">
        <v>20</v>
      </c>
      <c r="I34" s="26">
        <v>406436.5</v>
      </c>
      <c r="K34" s="8" t="s">
        <v>56</v>
      </c>
      <c r="L34" s="26">
        <v>29</v>
      </c>
    </row>
    <row r="35" spans="1:12" x14ac:dyDescent="0.25">
      <c r="K35" s="8" t="s">
        <v>223</v>
      </c>
      <c r="L35" s="26">
        <v>9</v>
      </c>
    </row>
    <row r="36" spans="1:12" x14ac:dyDescent="0.25">
      <c r="K36" s="8" t="s">
        <v>27</v>
      </c>
      <c r="L36" s="26">
        <v>50</v>
      </c>
    </row>
    <row r="39" spans="1:12" x14ac:dyDescent="0.25">
      <c r="A39" s="22" t="s">
        <v>531</v>
      </c>
      <c r="B39" s="23"/>
    </row>
    <row r="40" spans="1:12" x14ac:dyDescent="0.25">
      <c r="F40" s="22" t="s">
        <v>534</v>
      </c>
      <c r="G40" s="23"/>
    </row>
    <row r="42" spans="1:12" x14ac:dyDescent="0.25">
      <c r="A42" s="14" t="s">
        <v>554</v>
      </c>
      <c r="B42" s="8" t="s">
        <v>539</v>
      </c>
      <c r="F42" s="14" t="s">
        <v>538</v>
      </c>
      <c r="G42" s="14" t="s">
        <v>14</v>
      </c>
      <c r="H42" s="8"/>
      <c r="I42" s="8"/>
      <c r="J42" s="8"/>
    </row>
    <row r="43" spans="1:12" x14ac:dyDescent="0.25">
      <c r="A43" s="8" t="s">
        <v>47</v>
      </c>
      <c r="B43" s="26">
        <v>27</v>
      </c>
      <c r="F43" s="14" t="s">
        <v>6</v>
      </c>
      <c r="G43" s="8" t="s">
        <v>32</v>
      </c>
      <c r="H43" s="8" t="s">
        <v>25</v>
      </c>
      <c r="I43" s="8" t="s">
        <v>40</v>
      </c>
      <c r="J43" s="8" t="s">
        <v>54</v>
      </c>
    </row>
    <row r="44" spans="1:12" x14ac:dyDescent="0.25">
      <c r="A44" s="8" t="s">
        <v>555</v>
      </c>
      <c r="B44" s="26">
        <v>21</v>
      </c>
      <c r="C44" s="9"/>
      <c r="D44" s="9"/>
      <c r="F44" s="8" t="s">
        <v>91</v>
      </c>
      <c r="G44" s="26">
        <v>73544</v>
      </c>
      <c r="H44" s="26">
        <v>100727</v>
      </c>
      <c r="I44" s="26">
        <v>54274</v>
      </c>
      <c r="J44" s="26">
        <v>105328</v>
      </c>
    </row>
    <row r="45" spans="1:12" x14ac:dyDescent="0.25">
      <c r="A45" s="8" t="s">
        <v>556</v>
      </c>
      <c r="B45" s="26">
        <v>17</v>
      </c>
      <c r="F45" s="8" t="s">
        <v>70</v>
      </c>
      <c r="G45" s="26">
        <v>70085</v>
      </c>
      <c r="H45" s="26">
        <v>40054</v>
      </c>
      <c r="I45" s="26">
        <v>20625</v>
      </c>
      <c r="J45" s="26">
        <v>30632.5</v>
      </c>
    </row>
    <row r="46" spans="1:12" x14ac:dyDescent="0.25">
      <c r="A46" s="8" t="s">
        <v>557</v>
      </c>
      <c r="B46" s="26">
        <v>22</v>
      </c>
      <c r="F46" s="8" t="s">
        <v>62</v>
      </c>
      <c r="G46" s="26">
        <v>6927</v>
      </c>
      <c r="H46" s="26">
        <v>15410.5</v>
      </c>
      <c r="I46" s="26">
        <v>11609</v>
      </c>
      <c r="J46" s="26">
        <v>11033</v>
      </c>
    </row>
    <row r="47" spans="1:12" x14ac:dyDescent="0.25">
      <c r="A47" s="8" t="s">
        <v>558</v>
      </c>
      <c r="B47" s="26">
        <v>23</v>
      </c>
      <c r="F47" s="8" t="s">
        <v>74</v>
      </c>
      <c r="G47" s="26">
        <v>51362</v>
      </c>
      <c r="H47" s="26">
        <v>33963</v>
      </c>
      <c r="I47" s="26">
        <v>32414</v>
      </c>
      <c r="J47" s="26">
        <v>29795</v>
      </c>
    </row>
    <row r="48" spans="1:12" x14ac:dyDescent="0.25">
      <c r="A48" s="8" t="s">
        <v>559</v>
      </c>
      <c r="B48" s="26">
        <v>26</v>
      </c>
      <c r="F48" s="8" t="s">
        <v>23</v>
      </c>
      <c r="G48" s="26">
        <v>812602</v>
      </c>
      <c r="H48" s="26">
        <v>1245730.5</v>
      </c>
      <c r="I48" s="26">
        <v>1207111</v>
      </c>
      <c r="J48" s="26">
        <v>992256.5</v>
      </c>
    </row>
    <row r="49" spans="1:10" x14ac:dyDescent="0.25">
      <c r="A49" s="8" t="s">
        <v>560</v>
      </c>
      <c r="B49" s="26">
        <v>18</v>
      </c>
      <c r="F49" s="8" t="s">
        <v>78</v>
      </c>
      <c r="G49" s="26">
        <v>104599</v>
      </c>
      <c r="H49" s="26">
        <v>38014.5</v>
      </c>
      <c r="I49" s="26">
        <v>57563</v>
      </c>
      <c r="J49" s="26">
        <v>44067.5</v>
      </c>
    </row>
    <row r="50" spans="1:10" x14ac:dyDescent="0.25">
      <c r="A50" s="8" t="s">
        <v>561</v>
      </c>
      <c r="B50" s="26">
        <v>22</v>
      </c>
      <c r="F50" s="8" t="s">
        <v>30</v>
      </c>
      <c r="G50" s="26">
        <v>4004</v>
      </c>
      <c r="H50" s="26">
        <v>4756.5</v>
      </c>
      <c r="I50" s="26">
        <v>2082</v>
      </c>
      <c r="J50" s="26">
        <v>5013.5</v>
      </c>
    </row>
    <row r="51" spans="1:10" x14ac:dyDescent="0.25">
      <c r="A51" s="8" t="s">
        <v>562</v>
      </c>
      <c r="B51" s="26">
        <v>17</v>
      </c>
    </row>
    <row r="52" spans="1:10" x14ac:dyDescent="0.25">
      <c r="A52" s="8" t="s">
        <v>563</v>
      </c>
      <c r="B52" s="26">
        <v>20</v>
      </c>
    </row>
    <row r="53" spans="1:10" x14ac:dyDescent="0.25">
      <c r="A53" s="8" t="s">
        <v>564</v>
      </c>
      <c r="B53" s="26">
        <v>25</v>
      </c>
    </row>
    <row r="54" spans="1:10" x14ac:dyDescent="0.25">
      <c r="A54" s="8" t="s">
        <v>565</v>
      </c>
      <c r="B54" s="26">
        <v>12</v>
      </c>
    </row>
    <row r="55" spans="1:10" x14ac:dyDescent="0.25">
      <c r="E55" s="22" t="s">
        <v>537</v>
      </c>
      <c r="F55" s="23"/>
    </row>
    <row r="57" spans="1:10" x14ac:dyDescent="0.25">
      <c r="A57" s="22" t="s">
        <v>532</v>
      </c>
      <c r="B57" s="23"/>
      <c r="E57" s="14" t="s">
        <v>6</v>
      </c>
      <c r="F57" s="8" t="s">
        <v>543</v>
      </c>
    </row>
    <row r="58" spans="1:10" x14ac:dyDescent="0.25">
      <c r="E58" s="8" t="s">
        <v>91</v>
      </c>
      <c r="F58" s="26">
        <v>4.458333333333333</v>
      </c>
    </row>
    <row r="59" spans="1:10" x14ac:dyDescent="0.25">
      <c r="A59" s="14" t="s">
        <v>6</v>
      </c>
      <c r="B59" s="8" t="s">
        <v>538</v>
      </c>
      <c r="E59" s="8" t="s">
        <v>70</v>
      </c>
      <c r="F59" s="26">
        <v>4.0999999999999996</v>
      </c>
    </row>
    <row r="60" spans="1:10" x14ac:dyDescent="0.25">
      <c r="A60" s="8" t="s">
        <v>91</v>
      </c>
      <c r="B60" s="26">
        <v>333873</v>
      </c>
      <c r="E60" s="8" t="s">
        <v>62</v>
      </c>
      <c r="F60" s="26">
        <v>3.5941176470588232</v>
      </c>
    </row>
    <row r="61" spans="1:10" x14ac:dyDescent="0.25">
      <c r="A61" s="8" t="s">
        <v>70</v>
      </c>
      <c r="B61" s="26">
        <v>161396.5</v>
      </c>
      <c r="E61" s="8" t="s">
        <v>74</v>
      </c>
      <c r="F61" s="26">
        <v>4.1714285714285726</v>
      </c>
    </row>
    <row r="62" spans="1:10" x14ac:dyDescent="0.25">
      <c r="A62" s="8" t="s">
        <v>62</v>
      </c>
      <c r="B62" s="26">
        <v>44979.5</v>
      </c>
      <c r="E62" s="8" t="s">
        <v>23</v>
      </c>
      <c r="F62" s="26">
        <v>4.2969696969696969</v>
      </c>
    </row>
    <row r="63" spans="1:10" x14ac:dyDescent="0.25">
      <c r="A63" s="8" t="s">
        <v>74</v>
      </c>
      <c r="B63" s="26">
        <v>147534</v>
      </c>
      <c r="E63" s="8" t="s">
        <v>78</v>
      </c>
      <c r="F63" s="26">
        <v>4.2625000000000002</v>
      </c>
    </row>
    <row r="64" spans="1:10" x14ac:dyDescent="0.25">
      <c r="A64" s="8" t="s">
        <v>23</v>
      </c>
      <c r="B64" s="26">
        <v>4257700</v>
      </c>
      <c r="E64" s="8" t="s">
        <v>30</v>
      </c>
      <c r="F64" s="26">
        <v>4.0352941176470587</v>
      </c>
    </row>
    <row r="65" spans="1:2" x14ac:dyDescent="0.25">
      <c r="A65" s="8" t="s">
        <v>78</v>
      </c>
      <c r="B65" s="26">
        <v>244244</v>
      </c>
    </row>
    <row r="66" spans="1:2" x14ac:dyDescent="0.25">
      <c r="A66" s="8" t="s">
        <v>30</v>
      </c>
      <c r="B66" s="26">
        <v>15856</v>
      </c>
    </row>
  </sheetData>
  <mergeCells count="10">
    <mergeCell ref="B1:F2"/>
    <mergeCell ref="A23:K25"/>
    <mergeCell ref="A27:B27"/>
    <mergeCell ref="A39:B39"/>
    <mergeCell ref="A57:B57"/>
    <mergeCell ref="E27:F27"/>
    <mergeCell ref="F40:G40"/>
    <mergeCell ref="K29:L29"/>
    <mergeCell ref="H27:I27"/>
    <mergeCell ref="E55:F55"/>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R252"/>
  <sheetViews>
    <sheetView workbookViewId="0">
      <selection activeCell="K23" sqref="K23"/>
    </sheetView>
  </sheetViews>
  <sheetFormatPr defaultRowHeight="15" x14ac:dyDescent="0.25"/>
  <cols>
    <col min="1" max="1" width="10" customWidth="1"/>
    <col min="2" max="2" width="12.42578125" bestFit="1" customWidth="1"/>
    <col min="3" max="3" width="18" customWidth="1"/>
    <col min="4" max="4" width="13" customWidth="1"/>
    <col min="5" max="5" width="18" customWidth="1"/>
    <col min="6" max="6" width="14" customWidth="1"/>
    <col min="7" max="7" width="9" customWidth="1"/>
    <col min="8" max="9" width="11" customWidth="1"/>
    <col min="10" max="10" width="13.42578125" bestFit="1" customWidth="1"/>
    <col min="11" max="11" width="13.7109375" bestFit="1" customWidth="1"/>
    <col min="12" max="12" width="13" customWidth="1"/>
    <col min="13" max="13" width="10" customWidth="1"/>
    <col min="14" max="14" width="8" customWidth="1"/>
    <col min="15" max="15" width="14" customWidth="1"/>
    <col min="16" max="16" width="13" customWidth="1"/>
    <col min="17" max="17" width="16.5703125" bestFit="1" customWidth="1"/>
  </cols>
  <sheetData>
    <row r="1" spans="1:18" ht="27.95" customHeight="1" x14ac:dyDescent="0.25">
      <c r="A1" s="24" t="s">
        <v>0</v>
      </c>
      <c r="B1" s="25"/>
      <c r="C1" s="25"/>
      <c r="D1" s="25"/>
      <c r="E1" s="25"/>
      <c r="F1" s="25"/>
      <c r="G1" s="25"/>
      <c r="H1" s="25"/>
      <c r="I1" s="25"/>
      <c r="J1" s="25"/>
      <c r="K1" s="25"/>
      <c r="L1" s="25"/>
      <c r="M1" s="25"/>
      <c r="N1" s="25"/>
      <c r="O1" s="25"/>
      <c r="P1" s="25"/>
      <c r="Q1" s="25"/>
    </row>
    <row r="2" spans="1:18" ht="21.95" customHeight="1" x14ac:dyDescent="0.2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spans="1:18" x14ac:dyDescent="0.25">
      <c r="A3" s="2" t="s">
        <v>18</v>
      </c>
      <c r="B3" s="2" t="s">
        <v>19</v>
      </c>
      <c r="C3" s="2" t="s">
        <v>20</v>
      </c>
      <c r="D3" s="2" t="s">
        <v>21</v>
      </c>
      <c r="E3" s="2" t="s">
        <v>22</v>
      </c>
      <c r="F3" s="2" t="s">
        <v>23</v>
      </c>
      <c r="G3" s="2">
        <v>1</v>
      </c>
      <c r="H3" s="2">
        <v>6450</v>
      </c>
      <c r="I3" s="2">
        <v>5</v>
      </c>
      <c r="J3" s="2">
        <v>322.5</v>
      </c>
      <c r="K3" s="2">
        <v>6127.5</v>
      </c>
      <c r="L3" s="2" t="s">
        <v>24</v>
      </c>
      <c r="M3" s="2" t="str">
        <f>TEXT(L3,"mmm")</f>
        <v>Apr</v>
      </c>
      <c r="N3" s="2" t="s">
        <v>25</v>
      </c>
      <c r="O3" s="2" t="s">
        <v>26</v>
      </c>
      <c r="P3" s="2" t="s">
        <v>27</v>
      </c>
      <c r="Q3" s="2">
        <v>9</v>
      </c>
    </row>
    <row r="4" spans="1:18" x14ac:dyDescent="0.25">
      <c r="A4" s="3" t="s">
        <v>28</v>
      </c>
      <c r="B4" s="3" t="s">
        <v>19</v>
      </c>
      <c r="C4" s="3" t="s">
        <v>20</v>
      </c>
      <c r="D4" s="3" t="s">
        <v>21</v>
      </c>
      <c r="E4" s="3" t="s">
        <v>29</v>
      </c>
      <c r="F4" s="3" t="s">
        <v>30</v>
      </c>
      <c r="G4" s="3">
        <v>1</v>
      </c>
      <c r="H4" s="3">
        <v>220</v>
      </c>
      <c r="I4" s="3">
        <v>0</v>
      </c>
      <c r="J4" s="3">
        <v>0</v>
      </c>
      <c r="K4" s="3">
        <v>220</v>
      </c>
      <c r="L4" s="3" t="s">
        <v>31</v>
      </c>
      <c r="M4" s="2" t="str">
        <f t="shared" ref="M4:M67" si="0">TEXT(L4,"mmm")</f>
        <v>Jan</v>
      </c>
      <c r="N4" s="3" t="s">
        <v>32</v>
      </c>
      <c r="O4" s="3" t="s">
        <v>33</v>
      </c>
      <c r="P4" s="3" t="s">
        <v>34</v>
      </c>
      <c r="Q4" s="3">
        <v>3.8</v>
      </c>
    </row>
    <row r="5" spans="1:18" x14ac:dyDescent="0.25">
      <c r="A5" s="2" t="s">
        <v>35</v>
      </c>
      <c r="B5" s="2" t="s">
        <v>36</v>
      </c>
      <c r="C5" s="2" t="s">
        <v>37</v>
      </c>
      <c r="D5" s="2" t="s">
        <v>38</v>
      </c>
      <c r="E5" s="2" t="s">
        <v>29</v>
      </c>
      <c r="F5" s="2" t="s">
        <v>30</v>
      </c>
      <c r="G5" s="2">
        <v>2</v>
      </c>
      <c r="H5" s="2">
        <v>240</v>
      </c>
      <c r="I5" s="2">
        <v>20</v>
      </c>
      <c r="J5" s="2">
        <v>96</v>
      </c>
      <c r="K5" s="2">
        <v>384</v>
      </c>
      <c r="L5" s="2" t="s">
        <v>39</v>
      </c>
      <c r="M5" s="2" t="str">
        <f t="shared" si="0"/>
        <v>Aug</v>
      </c>
      <c r="N5" s="2" t="s">
        <v>40</v>
      </c>
      <c r="O5" s="2" t="s">
        <v>26</v>
      </c>
      <c r="P5" s="2" t="s">
        <v>34</v>
      </c>
      <c r="Q5" s="2">
        <v>3.2</v>
      </c>
    </row>
    <row r="6" spans="1:18" x14ac:dyDescent="0.25">
      <c r="A6" s="3" t="s">
        <v>41</v>
      </c>
      <c r="B6" s="3" t="s">
        <v>42</v>
      </c>
      <c r="C6" s="3" t="s">
        <v>43</v>
      </c>
      <c r="D6" s="3" t="s">
        <v>44</v>
      </c>
      <c r="E6" s="3" t="s">
        <v>45</v>
      </c>
      <c r="F6" s="3" t="s">
        <v>23</v>
      </c>
      <c r="G6" s="3">
        <v>2</v>
      </c>
      <c r="H6" s="3">
        <v>51980</v>
      </c>
      <c r="I6" s="3">
        <v>10</v>
      </c>
      <c r="J6" s="3">
        <v>10396</v>
      </c>
      <c r="K6" s="3">
        <v>93564</v>
      </c>
      <c r="L6" s="3" t="s">
        <v>46</v>
      </c>
      <c r="M6" s="2" t="str">
        <f t="shared" si="0"/>
        <v>May</v>
      </c>
      <c r="N6" s="3" t="s">
        <v>25</v>
      </c>
      <c r="O6" s="3" t="s">
        <v>26</v>
      </c>
      <c r="P6" s="3" t="s">
        <v>34</v>
      </c>
      <c r="Q6" s="3">
        <v>4.4000000000000004</v>
      </c>
    </row>
    <row r="7" spans="1:18" x14ac:dyDescent="0.25">
      <c r="A7" s="2" t="s">
        <v>48</v>
      </c>
      <c r="B7" s="2" t="s">
        <v>49</v>
      </c>
      <c r="C7" s="2" t="s">
        <v>50</v>
      </c>
      <c r="D7" s="2" t="s">
        <v>51</v>
      </c>
      <c r="E7" s="2" t="s">
        <v>52</v>
      </c>
      <c r="F7" s="2" t="s">
        <v>23</v>
      </c>
      <c r="G7" s="2">
        <v>4</v>
      </c>
      <c r="H7" s="2">
        <v>21930</v>
      </c>
      <c r="I7" s="2">
        <v>10</v>
      </c>
      <c r="J7" s="2">
        <v>8772</v>
      </c>
      <c r="K7" s="2">
        <v>78948</v>
      </c>
      <c r="L7" s="2" t="s">
        <v>53</v>
      </c>
      <c r="M7" s="2" t="str">
        <f t="shared" si="0"/>
        <v>Nov</v>
      </c>
      <c r="N7" s="2" t="s">
        <v>54</v>
      </c>
      <c r="O7" s="2" t="s">
        <v>55</v>
      </c>
      <c r="P7" s="2" t="s">
        <v>56</v>
      </c>
      <c r="Q7" s="2">
        <v>3</v>
      </c>
    </row>
    <row r="8" spans="1:18" x14ac:dyDescent="0.25">
      <c r="A8" s="3" t="s">
        <v>57</v>
      </c>
      <c r="B8" s="3" t="s">
        <v>58</v>
      </c>
      <c r="C8" s="3" t="s">
        <v>59</v>
      </c>
      <c r="D8" s="3" t="s">
        <v>60</v>
      </c>
      <c r="E8" s="3" t="s">
        <v>61</v>
      </c>
      <c r="F8" s="3" t="s">
        <v>62</v>
      </c>
      <c r="G8" s="3">
        <v>5</v>
      </c>
      <c r="H8" s="3">
        <v>340</v>
      </c>
      <c r="I8" s="3">
        <v>15</v>
      </c>
      <c r="J8" s="3">
        <v>255</v>
      </c>
      <c r="K8" s="3">
        <v>1445</v>
      </c>
      <c r="L8" s="3" t="s">
        <v>63</v>
      </c>
      <c r="M8" s="2" t="str">
        <f t="shared" si="0"/>
        <v>Feb</v>
      </c>
      <c r="N8" s="3" t="s">
        <v>32</v>
      </c>
      <c r="O8" s="3" t="s">
        <v>64</v>
      </c>
      <c r="P8" s="3" t="s">
        <v>34</v>
      </c>
      <c r="Q8" s="2">
        <v>2</v>
      </c>
    </row>
    <row r="9" spans="1:18" x14ac:dyDescent="0.25">
      <c r="A9" s="2" t="s">
        <v>65</v>
      </c>
      <c r="B9" s="2" t="s">
        <v>66</v>
      </c>
      <c r="C9" s="2" t="s">
        <v>67</v>
      </c>
      <c r="D9" s="2" t="s">
        <v>68</v>
      </c>
      <c r="E9" s="2" t="s">
        <v>69</v>
      </c>
      <c r="F9" s="2" t="s">
        <v>70</v>
      </c>
      <c r="G9" s="2">
        <v>5</v>
      </c>
      <c r="H9" s="2">
        <v>530</v>
      </c>
      <c r="I9" s="2">
        <v>0</v>
      </c>
      <c r="J9" s="2">
        <v>0</v>
      </c>
      <c r="K9" s="2">
        <v>2650</v>
      </c>
      <c r="L9" s="2" t="s">
        <v>71</v>
      </c>
      <c r="M9" s="2" t="str">
        <f t="shared" si="0"/>
        <v>Jan</v>
      </c>
      <c r="N9" s="2" t="s">
        <v>32</v>
      </c>
      <c r="O9" s="2" t="s">
        <v>26</v>
      </c>
      <c r="P9" s="2" t="s">
        <v>56</v>
      </c>
      <c r="Q9" s="2">
        <v>6</v>
      </c>
    </row>
    <row r="10" spans="1:18" x14ac:dyDescent="0.25">
      <c r="A10" s="3" t="s">
        <v>72</v>
      </c>
      <c r="B10" s="3" t="s">
        <v>49</v>
      </c>
      <c r="C10" s="3" t="s">
        <v>50</v>
      </c>
      <c r="D10" s="3" t="s">
        <v>51</v>
      </c>
      <c r="E10" s="3" t="s">
        <v>73</v>
      </c>
      <c r="F10" s="3" t="s">
        <v>74</v>
      </c>
      <c r="G10" s="3">
        <v>1</v>
      </c>
      <c r="H10" s="3">
        <v>1450</v>
      </c>
      <c r="I10" s="3">
        <v>15</v>
      </c>
      <c r="J10" s="3">
        <v>217.5</v>
      </c>
      <c r="K10" s="3">
        <v>1232.5</v>
      </c>
      <c r="L10" s="3" t="s">
        <v>75</v>
      </c>
      <c r="M10" s="2" t="str">
        <f t="shared" si="0"/>
        <v>Nov</v>
      </c>
      <c r="N10" s="3" t="s">
        <v>54</v>
      </c>
      <c r="O10" s="3" t="s">
        <v>55</v>
      </c>
      <c r="P10" s="3" t="s">
        <v>34</v>
      </c>
      <c r="Q10" s="2">
        <v>10</v>
      </c>
    </row>
    <row r="11" spans="1:18" x14ac:dyDescent="0.25">
      <c r="A11" s="2" t="s">
        <v>76</v>
      </c>
      <c r="B11" s="2" t="s">
        <v>19</v>
      </c>
      <c r="C11" s="2" t="s">
        <v>20</v>
      </c>
      <c r="D11" s="2" t="s">
        <v>21</v>
      </c>
      <c r="E11" s="2" t="s">
        <v>77</v>
      </c>
      <c r="F11" s="2" t="s">
        <v>78</v>
      </c>
      <c r="G11" s="2">
        <v>1</v>
      </c>
      <c r="H11" s="2">
        <v>4440</v>
      </c>
      <c r="I11" s="2">
        <v>5</v>
      </c>
      <c r="J11" s="2">
        <v>222</v>
      </c>
      <c r="K11" s="2">
        <v>4218</v>
      </c>
      <c r="L11" s="2" t="s">
        <v>79</v>
      </c>
      <c r="M11" s="2" t="str">
        <f t="shared" si="0"/>
        <v>Sep</v>
      </c>
      <c r="N11" s="2" t="s">
        <v>40</v>
      </c>
      <c r="O11" s="2" t="s">
        <v>26</v>
      </c>
      <c r="P11" s="2" t="s">
        <v>34</v>
      </c>
      <c r="Q11" s="2">
        <v>6</v>
      </c>
    </row>
    <row r="12" spans="1:18" x14ac:dyDescent="0.25">
      <c r="A12" s="3" t="s">
        <v>80</v>
      </c>
      <c r="B12" s="3" t="s">
        <v>66</v>
      </c>
      <c r="C12" s="3" t="s">
        <v>67</v>
      </c>
      <c r="D12" s="3" t="s">
        <v>68</v>
      </c>
      <c r="E12" s="3" t="s">
        <v>29</v>
      </c>
      <c r="F12" s="3" t="s">
        <v>30</v>
      </c>
      <c r="G12" s="3">
        <v>2</v>
      </c>
      <c r="H12" s="3">
        <v>240</v>
      </c>
      <c r="I12" s="3">
        <v>0</v>
      </c>
      <c r="J12" s="3">
        <v>0</v>
      </c>
      <c r="K12" s="3">
        <v>480</v>
      </c>
      <c r="L12" s="3" t="s">
        <v>81</v>
      </c>
      <c r="M12" s="2" t="str">
        <f t="shared" si="0"/>
        <v>Apr</v>
      </c>
      <c r="N12" s="3" t="s">
        <v>25</v>
      </c>
      <c r="O12" s="3" t="s">
        <v>33</v>
      </c>
      <c r="P12" s="3" t="s">
        <v>56</v>
      </c>
      <c r="Q12" s="2">
        <v>10</v>
      </c>
    </row>
    <row r="13" spans="1:18" x14ac:dyDescent="0.25">
      <c r="A13" s="2" t="s">
        <v>82</v>
      </c>
      <c r="B13" s="2" t="s">
        <v>83</v>
      </c>
      <c r="C13" s="2" t="s">
        <v>84</v>
      </c>
      <c r="D13" s="2" t="s">
        <v>85</v>
      </c>
      <c r="E13" s="2" t="s">
        <v>77</v>
      </c>
      <c r="F13" s="2" t="s">
        <v>78</v>
      </c>
      <c r="G13" s="2">
        <v>1</v>
      </c>
      <c r="H13" s="2">
        <v>2840</v>
      </c>
      <c r="I13" s="2">
        <v>20</v>
      </c>
      <c r="J13" s="2">
        <v>568</v>
      </c>
      <c r="K13" s="2">
        <v>2272</v>
      </c>
      <c r="L13" s="2" t="s">
        <v>86</v>
      </c>
      <c r="M13" s="2" t="str">
        <f t="shared" si="0"/>
        <v>Jun</v>
      </c>
      <c r="N13" s="2" t="s">
        <v>25</v>
      </c>
      <c r="O13" s="2" t="s">
        <v>26</v>
      </c>
      <c r="P13" s="2" t="s">
        <v>27</v>
      </c>
      <c r="Q13" s="2">
        <v>10</v>
      </c>
    </row>
    <row r="14" spans="1:18" x14ac:dyDescent="0.25">
      <c r="A14" s="3" t="s">
        <v>87</v>
      </c>
      <c r="B14" s="3" t="s">
        <v>83</v>
      </c>
      <c r="C14" s="3" t="s">
        <v>84</v>
      </c>
      <c r="D14" s="3" t="s">
        <v>85</v>
      </c>
      <c r="E14" s="3" t="s">
        <v>61</v>
      </c>
      <c r="F14" s="3" t="s">
        <v>62</v>
      </c>
      <c r="G14" s="3">
        <v>2</v>
      </c>
      <c r="H14" s="3">
        <v>380</v>
      </c>
      <c r="I14" s="3">
        <v>5</v>
      </c>
      <c r="J14" s="3">
        <v>38</v>
      </c>
      <c r="K14" s="3">
        <v>722</v>
      </c>
      <c r="L14" s="3" t="s">
        <v>88</v>
      </c>
      <c r="M14" s="2" t="str">
        <f t="shared" si="0"/>
        <v>Oct</v>
      </c>
      <c r="N14" s="3" t="s">
        <v>54</v>
      </c>
      <c r="O14" s="3" t="s">
        <v>64</v>
      </c>
      <c r="P14" s="3" t="s">
        <v>34</v>
      </c>
      <c r="Q14" s="2">
        <v>2</v>
      </c>
      <c r="R14" s="13"/>
    </row>
    <row r="15" spans="1:18" x14ac:dyDescent="0.25">
      <c r="A15" s="2" t="s">
        <v>89</v>
      </c>
      <c r="B15" s="2" t="s">
        <v>66</v>
      </c>
      <c r="C15" s="2" t="s">
        <v>67</v>
      </c>
      <c r="D15" s="2" t="s">
        <v>68</v>
      </c>
      <c r="E15" s="2" t="s">
        <v>90</v>
      </c>
      <c r="F15" s="2" t="s">
        <v>91</v>
      </c>
      <c r="G15" s="2">
        <v>4</v>
      </c>
      <c r="H15" s="2">
        <v>4450</v>
      </c>
      <c r="I15" s="2">
        <v>5</v>
      </c>
      <c r="J15" s="2">
        <v>890</v>
      </c>
      <c r="K15" s="2">
        <v>16910</v>
      </c>
      <c r="L15" s="2" t="s">
        <v>92</v>
      </c>
      <c r="M15" s="2" t="str">
        <f t="shared" si="0"/>
        <v>Sep</v>
      </c>
      <c r="N15" s="2" t="s">
        <v>40</v>
      </c>
      <c r="O15" s="2" t="s">
        <v>93</v>
      </c>
      <c r="P15" s="2" t="s">
        <v>34</v>
      </c>
      <c r="Q15" s="2">
        <v>8</v>
      </c>
    </row>
    <row r="16" spans="1:18" x14ac:dyDescent="0.25">
      <c r="A16" s="3" t="s">
        <v>94</v>
      </c>
      <c r="B16" s="3" t="s">
        <v>49</v>
      </c>
      <c r="C16" s="3" t="s">
        <v>50</v>
      </c>
      <c r="D16" s="3" t="s">
        <v>51</v>
      </c>
      <c r="E16" s="3" t="s">
        <v>95</v>
      </c>
      <c r="F16" s="3" t="s">
        <v>23</v>
      </c>
      <c r="G16" s="3">
        <v>2</v>
      </c>
      <c r="H16" s="3">
        <v>12920</v>
      </c>
      <c r="I16" s="3">
        <v>15</v>
      </c>
      <c r="J16" s="3">
        <v>3876</v>
      </c>
      <c r="K16" s="3">
        <v>21964</v>
      </c>
      <c r="L16" s="3" t="s">
        <v>96</v>
      </c>
      <c r="M16" s="2" t="str">
        <f t="shared" si="0"/>
        <v>Nov</v>
      </c>
      <c r="N16" s="3" t="s">
        <v>54</v>
      </c>
      <c r="O16" s="3" t="s">
        <v>33</v>
      </c>
      <c r="P16" s="3" t="s">
        <v>34</v>
      </c>
      <c r="Q16" s="2">
        <v>10</v>
      </c>
    </row>
    <row r="17" spans="1:17" x14ac:dyDescent="0.25">
      <c r="A17" s="2" t="s">
        <v>97</v>
      </c>
      <c r="B17" s="2" t="s">
        <v>98</v>
      </c>
      <c r="C17" s="2" t="s">
        <v>99</v>
      </c>
      <c r="D17" s="2" t="s">
        <v>51</v>
      </c>
      <c r="E17" s="2" t="s">
        <v>100</v>
      </c>
      <c r="F17" s="2" t="s">
        <v>30</v>
      </c>
      <c r="G17" s="2">
        <v>3</v>
      </c>
      <c r="H17" s="2">
        <v>390</v>
      </c>
      <c r="I17" s="2">
        <v>0</v>
      </c>
      <c r="J17" s="2">
        <v>0</v>
      </c>
      <c r="K17" s="2">
        <v>1170</v>
      </c>
      <c r="L17" s="2" t="s">
        <v>101</v>
      </c>
      <c r="M17" s="2" t="str">
        <f t="shared" si="0"/>
        <v>Dec</v>
      </c>
      <c r="N17" s="2" t="s">
        <v>54</v>
      </c>
      <c r="O17" s="2" t="s">
        <v>33</v>
      </c>
      <c r="P17" s="2" t="s">
        <v>27</v>
      </c>
      <c r="Q17" s="2">
        <v>9</v>
      </c>
    </row>
    <row r="18" spans="1:17" x14ac:dyDescent="0.25">
      <c r="A18" s="3" t="s">
        <v>102</v>
      </c>
      <c r="B18" s="3" t="s">
        <v>103</v>
      </c>
      <c r="C18" s="3" t="s">
        <v>104</v>
      </c>
      <c r="D18" s="3" t="s">
        <v>105</v>
      </c>
      <c r="E18" s="3" t="s">
        <v>77</v>
      </c>
      <c r="F18" s="3" t="s">
        <v>78</v>
      </c>
      <c r="G18" s="3">
        <v>3</v>
      </c>
      <c r="H18" s="3">
        <v>2450</v>
      </c>
      <c r="I18" s="3">
        <v>15</v>
      </c>
      <c r="J18" s="3">
        <v>1102.5</v>
      </c>
      <c r="K18" s="3">
        <v>6247.5</v>
      </c>
      <c r="L18" s="3" t="s">
        <v>106</v>
      </c>
      <c r="M18" s="2" t="str">
        <f t="shared" si="0"/>
        <v>Mar</v>
      </c>
      <c r="N18" s="3" t="s">
        <v>32</v>
      </c>
      <c r="O18" s="3" t="s">
        <v>93</v>
      </c>
      <c r="P18" s="3" t="s">
        <v>34</v>
      </c>
      <c r="Q18" s="2">
        <v>2</v>
      </c>
    </row>
    <row r="19" spans="1:17" x14ac:dyDescent="0.25">
      <c r="A19" s="2" t="s">
        <v>107</v>
      </c>
      <c r="B19" s="2" t="s">
        <v>58</v>
      </c>
      <c r="C19" s="2" t="s">
        <v>59</v>
      </c>
      <c r="D19" s="2" t="s">
        <v>60</v>
      </c>
      <c r="E19" s="2" t="s">
        <v>77</v>
      </c>
      <c r="F19" s="2" t="s">
        <v>78</v>
      </c>
      <c r="G19" s="2">
        <v>5</v>
      </c>
      <c r="H19" s="2">
        <v>5050</v>
      </c>
      <c r="I19" s="2">
        <v>20</v>
      </c>
      <c r="J19" s="2">
        <v>5050</v>
      </c>
      <c r="K19" s="2">
        <v>20200</v>
      </c>
      <c r="L19" s="2" t="s">
        <v>108</v>
      </c>
      <c r="M19" s="2" t="str">
        <f t="shared" si="0"/>
        <v>Feb</v>
      </c>
      <c r="N19" s="2" t="s">
        <v>32</v>
      </c>
      <c r="O19" s="2" t="s">
        <v>55</v>
      </c>
      <c r="P19" s="2" t="s">
        <v>56</v>
      </c>
      <c r="Q19" s="2">
        <v>7</v>
      </c>
    </row>
    <row r="20" spans="1:17" x14ac:dyDescent="0.25">
      <c r="A20" s="3" t="s">
        <v>109</v>
      </c>
      <c r="B20" s="3" t="s">
        <v>103</v>
      </c>
      <c r="C20" s="3" t="s">
        <v>104</v>
      </c>
      <c r="D20" s="3" t="s">
        <v>105</v>
      </c>
      <c r="E20" s="3" t="s">
        <v>110</v>
      </c>
      <c r="F20" s="3" t="s">
        <v>91</v>
      </c>
      <c r="G20" s="3">
        <v>2</v>
      </c>
      <c r="H20" s="3">
        <v>6070</v>
      </c>
      <c r="I20" s="3">
        <v>5</v>
      </c>
      <c r="J20" s="3">
        <v>607</v>
      </c>
      <c r="K20" s="3">
        <v>11533</v>
      </c>
      <c r="L20" s="3" t="s">
        <v>111</v>
      </c>
      <c r="M20" s="2" t="str">
        <f t="shared" si="0"/>
        <v>Oct</v>
      </c>
      <c r="N20" s="3" t="s">
        <v>54</v>
      </c>
      <c r="O20" s="3" t="s">
        <v>64</v>
      </c>
      <c r="P20" s="3" t="s">
        <v>112</v>
      </c>
      <c r="Q20" s="2">
        <v>10</v>
      </c>
    </row>
    <row r="21" spans="1:17" x14ac:dyDescent="0.25">
      <c r="A21" s="2" t="s">
        <v>113</v>
      </c>
      <c r="B21" s="2" t="s">
        <v>114</v>
      </c>
      <c r="C21" s="2" t="s">
        <v>115</v>
      </c>
      <c r="D21" s="2" t="s">
        <v>116</v>
      </c>
      <c r="E21" s="2" t="s">
        <v>117</v>
      </c>
      <c r="F21" s="2" t="s">
        <v>78</v>
      </c>
      <c r="G21" s="2">
        <v>4</v>
      </c>
      <c r="H21" s="2">
        <v>530</v>
      </c>
      <c r="I21" s="2">
        <v>10</v>
      </c>
      <c r="J21" s="2">
        <v>212</v>
      </c>
      <c r="K21" s="2">
        <v>1908</v>
      </c>
      <c r="L21" s="2" t="s">
        <v>118</v>
      </c>
      <c r="M21" s="2" t="str">
        <f t="shared" si="0"/>
        <v>Jun</v>
      </c>
      <c r="N21" s="2" t="s">
        <v>25</v>
      </c>
      <c r="O21" s="2" t="s">
        <v>26</v>
      </c>
      <c r="P21" s="2" t="s">
        <v>34</v>
      </c>
      <c r="Q21" s="2">
        <v>1</v>
      </c>
    </row>
    <row r="22" spans="1:17" x14ac:dyDescent="0.25">
      <c r="A22" s="3" t="s">
        <v>119</v>
      </c>
      <c r="B22" s="3" t="s">
        <v>49</v>
      </c>
      <c r="C22" s="3" t="s">
        <v>50</v>
      </c>
      <c r="D22" s="3" t="s">
        <v>51</v>
      </c>
      <c r="E22" s="3" t="s">
        <v>52</v>
      </c>
      <c r="F22" s="3" t="s">
        <v>23</v>
      </c>
      <c r="G22" s="3">
        <v>4</v>
      </c>
      <c r="H22" s="3">
        <v>36320</v>
      </c>
      <c r="I22" s="3">
        <v>20</v>
      </c>
      <c r="J22" s="3">
        <v>29056</v>
      </c>
      <c r="K22" s="3">
        <v>116224</v>
      </c>
      <c r="L22" s="3" t="s">
        <v>120</v>
      </c>
      <c r="M22" s="2" t="str">
        <f t="shared" si="0"/>
        <v>Mar</v>
      </c>
      <c r="N22" s="3" t="s">
        <v>32</v>
      </c>
      <c r="O22" s="3" t="s">
        <v>26</v>
      </c>
      <c r="P22" s="3" t="s">
        <v>27</v>
      </c>
      <c r="Q22" s="2">
        <v>3</v>
      </c>
    </row>
    <row r="23" spans="1:17" x14ac:dyDescent="0.25">
      <c r="A23" s="2" t="s">
        <v>121</v>
      </c>
      <c r="B23" s="2" t="s">
        <v>103</v>
      </c>
      <c r="C23" s="2" t="s">
        <v>104</v>
      </c>
      <c r="D23" s="2" t="s">
        <v>105</v>
      </c>
      <c r="E23" s="2" t="s">
        <v>122</v>
      </c>
      <c r="F23" s="2" t="s">
        <v>74</v>
      </c>
      <c r="G23" s="2">
        <v>3</v>
      </c>
      <c r="H23" s="2">
        <v>1290</v>
      </c>
      <c r="I23" s="2">
        <v>20</v>
      </c>
      <c r="J23" s="2">
        <v>774</v>
      </c>
      <c r="K23" s="2">
        <v>3096</v>
      </c>
      <c r="L23" s="2" t="s">
        <v>123</v>
      </c>
      <c r="M23" s="2" t="str">
        <f t="shared" si="0"/>
        <v>Aug</v>
      </c>
      <c r="N23" s="2" t="s">
        <v>40</v>
      </c>
      <c r="O23" s="2" t="s">
        <v>26</v>
      </c>
      <c r="P23" s="2" t="s">
        <v>112</v>
      </c>
      <c r="Q23" s="2">
        <v>7</v>
      </c>
    </row>
    <row r="24" spans="1:17" x14ac:dyDescent="0.25">
      <c r="A24" s="3" t="s">
        <v>124</v>
      </c>
      <c r="B24" s="3" t="s">
        <v>125</v>
      </c>
      <c r="C24" s="3" t="s">
        <v>126</v>
      </c>
      <c r="D24" s="3" t="s">
        <v>38</v>
      </c>
      <c r="E24" s="3" t="s">
        <v>127</v>
      </c>
      <c r="F24" s="3" t="s">
        <v>74</v>
      </c>
      <c r="G24" s="3">
        <v>3</v>
      </c>
      <c r="H24" s="3">
        <v>2000</v>
      </c>
      <c r="I24" s="3">
        <v>10</v>
      </c>
      <c r="J24" s="3">
        <v>600</v>
      </c>
      <c r="K24" s="3">
        <v>5400</v>
      </c>
      <c r="L24" s="3" t="s">
        <v>128</v>
      </c>
      <c r="M24" s="2" t="str">
        <f t="shared" si="0"/>
        <v>Aug</v>
      </c>
      <c r="N24" s="3" t="s">
        <v>40</v>
      </c>
      <c r="O24" s="3" t="s">
        <v>64</v>
      </c>
      <c r="P24" s="3" t="s">
        <v>34</v>
      </c>
      <c r="Q24" s="2">
        <v>8</v>
      </c>
    </row>
    <row r="25" spans="1:17" x14ac:dyDescent="0.25">
      <c r="A25" s="2" t="s">
        <v>129</v>
      </c>
      <c r="B25" s="2" t="s">
        <v>49</v>
      </c>
      <c r="C25" s="2" t="s">
        <v>50</v>
      </c>
      <c r="D25" s="2" t="s">
        <v>51</v>
      </c>
      <c r="E25" s="2" t="s">
        <v>117</v>
      </c>
      <c r="F25" s="2" t="s">
        <v>78</v>
      </c>
      <c r="G25" s="2">
        <v>1</v>
      </c>
      <c r="H25" s="2">
        <v>1380</v>
      </c>
      <c r="I25" s="2">
        <v>5</v>
      </c>
      <c r="J25" s="2">
        <v>69</v>
      </c>
      <c r="K25" s="2">
        <v>1311</v>
      </c>
      <c r="L25" s="2" t="s">
        <v>130</v>
      </c>
      <c r="M25" s="2" t="str">
        <f t="shared" si="0"/>
        <v>Oct</v>
      </c>
      <c r="N25" s="2" t="s">
        <v>54</v>
      </c>
      <c r="O25" s="2" t="s">
        <v>26</v>
      </c>
      <c r="P25" s="2" t="s">
        <v>34</v>
      </c>
      <c r="Q25" s="2">
        <v>9</v>
      </c>
    </row>
    <row r="26" spans="1:17" x14ac:dyDescent="0.25">
      <c r="A26" s="3" t="s">
        <v>131</v>
      </c>
      <c r="B26" s="3" t="s">
        <v>36</v>
      </c>
      <c r="C26" s="3" t="s">
        <v>37</v>
      </c>
      <c r="D26" s="3" t="s">
        <v>38</v>
      </c>
      <c r="E26" s="3" t="s">
        <v>73</v>
      </c>
      <c r="F26" s="3" t="s">
        <v>74</v>
      </c>
      <c r="G26" s="3">
        <v>1</v>
      </c>
      <c r="H26" s="3">
        <v>2340</v>
      </c>
      <c r="I26" s="3">
        <v>10</v>
      </c>
      <c r="J26" s="3">
        <v>234</v>
      </c>
      <c r="K26" s="3">
        <v>2106</v>
      </c>
      <c r="L26" s="3" t="s">
        <v>132</v>
      </c>
      <c r="M26" s="2" t="str">
        <f t="shared" si="0"/>
        <v>Feb</v>
      </c>
      <c r="N26" s="3" t="s">
        <v>32</v>
      </c>
      <c r="O26" s="3" t="s">
        <v>64</v>
      </c>
      <c r="P26" s="3" t="s">
        <v>34</v>
      </c>
      <c r="Q26" s="2">
        <v>5</v>
      </c>
    </row>
    <row r="27" spans="1:17" x14ac:dyDescent="0.25">
      <c r="A27" s="2" t="s">
        <v>133</v>
      </c>
      <c r="B27" s="2" t="s">
        <v>134</v>
      </c>
      <c r="C27" s="2" t="s">
        <v>135</v>
      </c>
      <c r="D27" s="2" t="s">
        <v>68</v>
      </c>
      <c r="E27" s="2" t="s">
        <v>29</v>
      </c>
      <c r="F27" s="2" t="s">
        <v>30</v>
      </c>
      <c r="G27" s="2">
        <v>2</v>
      </c>
      <c r="H27" s="2">
        <v>240</v>
      </c>
      <c r="I27" s="2">
        <v>20</v>
      </c>
      <c r="J27" s="2">
        <v>96</v>
      </c>
      <c r="K27" s="2">
        <v>384</v>
      </c>
      <c r="L27" s="2" t="s">
        <v>136</v>
      </c>
      <c r="M27" s="2" t="str">
        <f t="shared" si="0"/>
        <v>Oct</v>
      </c>
      <c r="N27" s="2" t="s">
        <v>54</v>
      </c>
      <c r="O27" s="2" t="s">
        <v>93</v>
      </c>
      <c r="P27" s="2" t="s">
        <v>34</v>
      </c>
      <c r="Q27" s="2">
        <v>1</v>
      </c>
    </row>
    <row r="28" spans="1:17" x14ac:dyDescent="0.25">
      <c r="A28" s="3" t="s">
        <v>137</v>
      </c>
      <c r="B28" s="3" t="s">
        <v>83</v>
      </c>
      <c r="C28" s="3" t="s">
        <v>84</v>
      </c>
      <c r="D28" s="3" t="s">
        <v>85</v>
      </c>
      <c r="E28" s="3" t="s">
        <v>127</v>
      </c>
      <c r="F28" s="3" t="s">
        <v>74</v>
      </c>
      <c r="G28" s="3">
        <v>1</v>
      </c>
      <c r="H28" s="3">
        <v>1240</v>
      </c>
      <c r="I28" s="3">
        <v>15</v>
      </c>
      <c r="J28" s="3">
        <v>186</v>
      </c>
      <c r="K28" s="3">
        <v>1054</v>
      </c>
      <c r="L28" s="3" t="s">
        <v>138</v>
      </c>
      <c r="M28" s="2" t="str">
        <f t="shared" si="0"/>
        <v>Jun</v>
      </c>
      <c r="N28" s="3" t="s">
        <v>25</v>
      </c>
      <c r="O28" s="3" t="s">
        <v>93</v>
      </c>
      <c r="P28" s="3" t="s">
        <v>34</v>
      </c>
      <c r="Q28" s="2">
        <v>2</v>
      </c>
    </row>
    <row r="29" spans="1:17" x14ac:dyDescent="0.25">
      <c r="A29" s="2" t="s">
        <v>139</v>
      </c>
      <c r="B29" s="2" t="s">
        <v>36</v>
      </c>
      <c r="C29" s="2" t="s">
        <v>37</v>
      </c>
      <c r="D29" s="2" t="s">
        <v>38</v>
      </c>
      <c r="E29" s="2" t="s">
        <v>22</v>
      </c>
      <c r="F29" s="2" t="s">
        <v>23</v>
      </c>
      <c r="G29" s="2">
        <v>1</v>
      </c>
      <c r="H29" s="2">
        <v>4420</v>
      </c>
      <c r="I29" s="2">
        <v>10</v>
      </c>
      <c r="J29" s="2">
        <v>442</v>
      </c>
      <c r="K29" s="2">
        <v>3978</v>
      </c>
      <c r="L29" s="2" t="s">
        <v>140</v>
      </c>
      <c r="M29" s="2" t="str">
        <f t="shared" si="0"/>
        <v>Feb</v>
      </c>
      <c r="N29" s="2" t="s">
        <v>32</v>
      </c>
      <c r="O29" s="2" t="s">
        <v>26</v>
      </c>
      <c r="P29" s="2" t="s">
        <v>34</v>
      </c>
      <c r="Q29" s="2">
        <v>3</v>
      </c>
    </row>
    <row r="30" spans="1:17" x14ac:dyDescent="0.25">
      <c r="A30" s="3" t="s">
        <v>141</v>
      </c>
      <c r="B30" s="3" t="s">
        <v>142</v>
      </c>
      <c r="C30" s="3" t="s">
        <v>143</v>
      </c>
      <c r="D30" s="3" t="s">
        <v>116</v>
      </c>
      <c r="E30" s="3" t="s">
        <v>144</v>
      </c>
      <c r="F30" s="3" t="s">
        <v>70</v>
      </c>
      <c r="G30" s="3">
        <v>2</v>
      </c>
      <c r="H30" s="3">
        <v>1840</v>
      </c>
      <c r="I30" s="3">
        <v>5</v>
      </c>
      <c r="J30" s="3">
        <v>184</v>
      </c>
      <c r="K30" s="3">
        <v>3496</v>
      </c>
      <c r="L30" s="3" t="s">
        <v>145</v>
      </c>
      <c r="M30" s="2" t="str">
        <f t="shared" si="0"/>
        <v>Feb</v>
      </c>
      <c r="N30" s="3" t="s">
        <v>32</v>
      </c>
      <c r="O30" s="3" t="s">
        <v>93</v>
      </c>
      <c r="P30" s="3" t="s">
        <v>56</v>
      </c>
      <c r="Q30" s="2">
        <v>1</v>
      </c>
    </row>
    <row r="31" spans="1:17" x14ac:dyDescent="0.25">
      <c r="A31" s="2" t="s">
        <v>146</v>
      </c>
      <c r="B31" s="2" t="s">
        <v>42</v>
      </c>
      <c r="C31" s="2" t="s">
        <v>43</v>
      </c>
      <c r="D31" s="2" t="s">
        <v>44</v>
      </c>
      <c r="E31" s="2" t="s">
        <v>29</v>
      </c>
      <c r="F31" s="2" t="s">
        <v>30</v>
      </c>
      <c r="G31" s="2">
        <v>1</v>
      </c>
      <c r="H31" s="2">
        <v>110</v>
      </c>
      <c r="I31" s="2">
        <v>20</v>
      </c>
      <c r="J31" s="2">
        <v>22</v>
      </c>
      <c r="K31" s="2">
        <v>88</v>
      </c>
      <c r="L31" s="2" t="s">
        <v>147</v>
      </c>
      <c r="M31" s="2" t="str">
        <f t="shared" si="0"/>
        <v>Jan</v>
      </c>
      <c r="N31" s="2" t="s">
        <v>32</v>
      </c>
      <c r="O31" s="2" t="s">
        <v>33</v>
      </c>
      <c r="P31" s="2" t="s">
        <v>112</v>
      </c>
      <c r="Q31" s="2">
        <v>1</v>
      </c>
    </row>
    <row r="32" spans="1:17" x14ac:dyDescent="0.25">
      <c r="A32" s="3" t="s">
        <v>148</v>
      </c>
      <c r="B32" s="3" t="s">
        <v>42</v>
      </c>
      <c r="C32" s="3" t="s">
        <v>43</v>
      </c>
      <c r="D32" s="3" t="s">
        <v>44</v>
      </c>
      <c r="E32" s="3" t="s">
        <v>73</v>
      </c>
      <c r="F32" s="3" t="s">
        <v>74</v>
      </c>
      <c r="G32" s="3">
        <v>2</v>
      </c>
      <c r="H32" s="3">
        <v>1490</v>
      </c>
      <c r="I32" s="3">
        <v>15</v>
      </c>
      <c r="J32" s="3">
        <v>447</v>
      </c>
      <c r="K32" s="3">
        <v>2533</v>
      </c>
      <c r="L32" s="3" t="s">
        <v>149</v>
      </c>
      <c r="M32" s="2" t="str">
        <f t="shared" si="0"/>
        <v>Apr</v>
      </c>
      <c r="N32" s="3" t="s">
        <v>25</v>
      </c>
      <c r="O32" s="3" t="s">
        <v>93</v>
      </c>
      <c r="P32" s="3" t="s">
        <v>112</v>
      </c>
      <c r="Q32" s="2">
        <v>2</v>
      </c>
    </row>
    <row r="33" spans="1:17" x14ac:dyDescent="0.25">
      <c r="A33" s="2" t="s">
        <v>150</v>
      </c>
      <c r="B33" s="2" t="s">
        <v>142</v>
      </c>
      <c r="C33" s="2" t="s">
        <v>143</v>
      </c>
      <c r="D33" s="2" t="s">
        <v>116</v>
      </c>
      <c r="E33" s="2" t="s">
        <v>151</v>
      </c>
      <c r="F33" s="2" t="s">
        <v>70</v>
      </c>
      <c r="G33" s="2">
        <v>1</v>
      </c>
      <c r="H33" s="2">
        <v>790</v>
      </c>
      <c r="I33" s="2">
        <v>10</v>
      </c>
      <c r="J33" s="2">
        <v>79</v>
      </c>
      <c r="K33" s="2">
        <v>711</v>
      </c>
      <c r="L33" s="2" t="s">
        <v>152</v>
      </c>
      <c r="M33" s="2" t="str">
        <f t="shared" si="0"/>
        <v>Aug</v>
      </c>
      <c r="N33" s="2" t="s">
        <v>40</v>
      </c>
      <c r="O33" s="2" t="s">
        <v>55</v>
      </c>
      <c r="P33" s="2" t="s">
        <v>34</v>
      </c>
      <c r="Q33" s="2">
        <v>9</v>
      </c>
    </row>
    <row r="34" spans="1:17" x14ac:dyDescent="0.25">
      <c r="A34" s="3" t="s">
        <v>153</v>
      </c>
      <c r="B34" s="3" t="s">
        <v>125</v>
      </c>
      <c r="C34" s="3" t="s">
        <v>126</v>
      </c>
      <c r="D34" s="3" t="s">
        <v>38</v>
      </c>
      <c r="E34" s="3" t="s">
        <v>29</v>
      </c>
      <c r="F34" s="3" t="s">
        <v>30</v>
      </c>
      <c r="G34" s="3">
        <v>4</v>
      </c>
      <c r="H34" s="3">
        <v>130</v>
      </c>
      <c r="I34" s="3">
        <v>10</v>
      </c>
      <c r="J34" s="3">
        <v>52</v>
      </c>
      <c r="K34" s="3">
        <v>468</v>
      </c>
      <c r="L34" s="3" t="s">
        <v>154</v>
      </c>
      <c r="M34" s="2" t="str">
        <f t="shared" si="0"/>
        <v>Apr</v>
      </c>
      <c r="N34" s="3" t="s">
        <v>25</v>
      </c>
      <c r="O34" s="3" t="s">
        <v>33</v>
      </c>
      <c r="P34" s="3" t="s">
        <v>27</v>
      </c>
      <c r="Q34" s="2">
        <v>4</v>
      </c>
    </row>
    <row r="35" spans="1:17" x14ac:dyDescent="0.25">
      <c r="A35" s="2" t="s">
        <v>155</v>
      </c>
      <c r="B35" s="2" t="s">
        <v>103</v>
      </c>
      <c r="C35" s="2" t="s">
        <v>104</v>
      </c>
      <c r="D35" s="2" t="s">
        <v>105</v>
      </c>
      <c r="E35" s="2" t="s">
        <v>156</v>
      </c>
      <c r="F35" s="2" t="s">
        <v>23</v>
      </c>
      <c r="G35" s="2">
        <v>3</v>
      </c>
      <c r="H35" s="2">
        <v>16140</v>
      </c>
      <c r="I35" s="2">
        <v>20</v>
      </c>
      <c r="J35" s="2">
        <v>9684</v>
      </c>
      <c r="K35" s="2">
        <v>38736</v>
      </c>
      <c r="L35" s="2" t="s">
        <v>157</v>
      </c>
      <c r="M35" s="2" t="str">
        <f t="shared" si="0"/>
        <v>Sep</v>
      </c>
      <c r="N35" s="2" t="s">
        <v>40</v>
      </c>
      <c r="O35" s="2" t="s">
        <v>64</v>
      </c>
      <c r="P35" s="2" t="s">
        <v>112</v>
      </c>
      <c r="Q35" s="2">
        <v>5</v>
      </c>
    </row>
    <row r="36" spans="1:17" x14ac:dyDescent="0.25">
      <c r="A36" s="3" t="s">
        <v>158</v>
      </c>
      <c r="B36" s="3" t="s">
        <v>103</v>
      </c>
      <c r="C36" s="3" t="s">
        <v>104</v>
      </c>
      <c r="D36" s="3" t="s">
        <v>105</v>
      </c>
      <c r="E36" s="3" t="s">
        <v>122</v>
      </c>
      <c r="F36" s="3" t="s">
        <v>74</v>
      </c>
      <c r="G36" s="3">
        <v>1</v>
      </c>
      <c r="H36" s="3">
        <v>1940</v>
      </c>
      <c r="I36" s="3">
        <v>0</v>
      </c>
      <c r="J36" s="3">
        <v>0</v>
      </c>
      <c r="K36" s="3">
        <v>1940</v>
      </c>
      <c r="L36" s="3" t="s">
        <v>159</v>
      </c>
      <c r="M36" s="2" t="str">
        <f t="shared" si="0"/>
        <v>Apr</v>
      </c>
      <c r="N36" s="3" t="s">
        <v>25</v>
      </c>
      <c r="O36" s="3" t="s">
        <v>33</v>
      </c>
      <c r="P36" s="3" t="s">
        <v>27</v>
      </c>
      <c r="Q36" s="2">
        <v>8</v>
      </c>
    </row>
    <row r="37" spans="1:17" x14ac:dyDescent="0.25">
      <c r="A37" s="2" t="s">
        <v>160</v>
      </c>
      <c r="B37" s="2" t="s">
        <v>19</v>
      </c>
      <c r="C37" s="2" t="s">
        <v>20</v>
      </c>
      <c r="D37" s="2" t="s">
        <v>21</v>
      </c>
      <c r="E37" s="2" t="s">
        <v>73</v>
      </c>
      <c r="F37" s="2" t="s">
        <v>74</v>
      </c>
      <c r="G37" s="2">
        <v>4</v>
      </c>
      <c r="H37" s="2">
        <v>1000</v>
      </c>
      <c r="I37" s="2">
        <v>20</v>
      </c>
      <c r="J37" s="2">
        <v>800</v>
      </c>
      <c r="K37" s="2">
        <v>3200</v>
      </c>
      <c r="L37" s="2" t="s">
        <v>161</v>
      </c>
      <c r="M37" s="2" t="str">
        <f t="shared" si="0"/>
        <v>May</v>
      </c>
      <c r="N37" s="2" t="s">
        <v>25</v>
      </c>
      <c r="O37" s="2" t="s">
        <v>64</v>
      </c>
      <c r="P37" s="2" t="s">
        <v>27</v>
      </c>
      <c r="Q37" s="2">
        <v>5</v>
      </c>
    </row>
    <row r="38" spans="1:17" x14ac:dyDescent="0.25">
      <c r="A38" s="3" t="s">
        <v>162</v>
      </c>
      <c r="B38" s="3" t="s">
        <v>114</v>
      </c>
      <c r="C38" s="3" t="s">
        <v>115</v>
      </c>
      <c r="D38" s="3" t="s">
        <v>116</v>
      </c>
      <c r="E38" s="3" t="s">
        <v>52</v>
      </c>
      <c r="F38" s="3" t="s">
        <v>23</v>
      </c>
      <c r="G38" s="3">
        <v>4</v>
      </c>
      <c r="H38" s="3">
        <v>33150</v>
      </c>
      <c r="I38" s="3">
        <v>20</v>
      </c>
      <c r="J38" s="3">
        <v>26520</v>
      </c>
      <c r="K38" s="3">
        <v>106080</v>
      </c>
      <c r="L38" s="3" t="s">
        <v>163</v>
      </c>
      <c r="M38" s="2" t="str">
        <f t="shared" si="0"/>
        <v>Sep</v>
      </c>
      <c r="N38" s="3" t="s">
        <v>40</v>
      </c>
      <c r="O38" s="3" t="s">
        <v>55</v>
      </c>
      <c r="P38" s="3" t="s">
        <v>112</v>
      </c>
      <c r="Q38" s="2">
        <v>9</v>
      </c>
    </row>
    <row r="39" spans="1:17" x14ac:dyDescent="0.25">
      <c r="A39" s="2" t="s">
        <v>164</v>
      </c>
      <c r="B39" s="2" t="s">
        <v>134</v>
      </c>
      <c r="C39" s="2" t="s">
        <v>135</v>
      </c>
      <c r="D39" s="2" t="s">
        <v>68</v>
      </c>
      <c r="E39" s="2" t="s">
        <v>117</v>
      </c>
      <c r="F39" s="2" t="s">
        <v>78</v>
      </c>
      <c r="G39" s="2">
        <v>2</v>
      </c>
      <c r="H39" s="2">
        <v>900</v>
      </c>
      <c r="I39" s="2">
        <v>5</v>
      </c>
      <c r="J39" s="2">
        <v>90</v>
      </c>
      <c r="K39" s="2">
        <v>1710</v>
      </c>
      <c r="L39" s="2" t="s">
        <v>165</v>
      </c>
      <c r="M39" s="2" t="str">
        <f t="shared" si="0"/>
        <v>Dec</v>
      </c>
      <c r="N39" s="2" t="s">
        <v>54</v>
      </c>
      <c r="O39" s="2" t="s">
        <v>55</v>
      </c>
      <c r="P39" s="2" t="s">
        <v>34</v>
      </c>
      <c r="Q39" s="2">
        <v>6</v>
      </c>
    </row>
    <row r="40" spans="1:17" x14ac:dyDescent="0.25">
      <c r="A40" s="3" t="s">
        <v>166</v>
      </c>
      <c r="B40" s="3" t="s">
        <v>66</v>
      </c>
      <c r="C40" s="3" t="s">
        <v>67</v>
      </c>
      <c r="D40" s="3" t="s">
        <v>68</v>
      </c>
      <c r="E40" s="3" t="s">
        <v>52</v>
      </c>
      <c r="F40" s="3" t="s">
        <v>23</v>
      </c>
      <c r="G40" s="3">
        <v>1</v>
      </c>
      <c r="H40" s="3">
        <v>29170</v>
      </c>
      <c r="I40" s="3">
        <v>20</v>
      </c>
      <c r="J40" s="3">
        <v>5834</v>
      </c>
      <c r="K40" s="3">
        <v>23336</v>
      </c>
      <c r="L40" s="3" t="s">
        <v>167</v>
      </c>
      <c r="M40" s="2" t="str">
        <f t="shared" si="0"/>
        <v>Feb</v>
      </c>
      <c r="N40" s="3" t="s">
        <v>32</v>
      </c>
      <c r="O40" s="3" t="s">
        <v>33</v>
      </c>
      <c r="P40" s="3" t="s">
        <v>34</v>
      </c>
      <c r="Q40" s="2">
        <v>6</v>
      </c>
    </row>
    <row r="41" spans="1:17" x14ac:dyDescent="0.25">
      <c r="A41" s="2" t="s">
        <v>168</v>
      </c>
      <c r="B41" s="2" t="s">
        <v>142</v>
      </c>
      <c r="C41" s="2" t="s">
        <v>143</v>
      </c>
      <c r="D41" s="2" t="s">
        <v>116</v>
      </c>
      <c r="E41" s="2" t="s">
        <v>69</v>
      </c>
      <c r="F41" s="2" t="s">
        <v>70</v>
      </c>
      <c r="G41" s="2">
        <v>1</v>
      </c>
      <c r="H41" s="2">
        <v>1360</v>
      </c>
      <c r="I41" s="2">
        <v>10</v>
      </c>
      <c r="J41" s="2">
        <v>136</v>
      </c>
      <c r="K41" s="2">
        <v>1224</v>
      </c>
      <c r="L41" s="2" t="s">
        <v>169</v>
      </c>
      <c r="M41" s="2" t="str">
        <f t="shared" si="0"/>
        <v>May</v>
      </c>
      <c r="N41" s="2" t="s">
        <v>25</v>
      </c>
      <c r="O41" s="2" t="s">
        <v>26</v>
      </c>
      <c r="P41" s="2" t="s">
        <v>34</v>
      </c>
      <c r="Q41" s="2">
        <v>10</v>
      </c>
    </row>
    <row r="42" spans="1:17" x14ac:dyDescent="0.25">
      <c r="A42" s="3" t="s">
        <v>170</v>
      </c>
      <c r="B42" s="3" t="s">
        <v>171</v>
      </c>
      <c r="C42" s="3" t="s">
        <v>172</v>
      </c>
      <c r="D42" s="3" t="s">
        <v>60</v>
      </c>
      <c r="E42" s="3" t="s">
        <v>110</v>
      </c>
      <c r="F42" s="3" t="s">
        <v>91</v>
      </c>
      <c r="G42" s="3">
        <v>5</v>
      </c>
      <c r="H42" s="3">
        <v>5050</v>
      </c>
      <c r="I42" s="3">
        <v>20</v>
      </c>
      <c r="J42" s="3">
        <v>5050</v>
      </c>
      <c r="K42" s="3">
        <v>20200</v>
      </c>
      <c r="L42" s="3" t="s">
        <v>173</v>
      </c>
      <c r="M42" s="2" t="str">
        <f t="shared" si="0"/>
        <v>Jun</v>
      </c>
      <c r="N42" s="3" t="s">
        <v>25</v>
      </c>
      <c r="O42" s="3" t="s">
        <v>33</v>
      </c>
      <c r="P42" s="3" t="s">
        <v>112</v>
      </c>
      <c r="Q42" s="2">
        <v>5</v>
      </c>
    </row>
    <row r="43" spans="1:17" x14ac:dyDescent="0.25">
      <c r="A43" s="2" t="s">
        <v>174</v>
      </c>
      <c r="B43" s="2" t="s">
        <v>142</v>
      </c>
      <c r="C43" s="2" t="s">
        <v>143</v>
      </c>
      <c r="D43" s="2" t="s">
        <v>116</v>
      </c>
      <c r="E43" s="2" t="s">
        <v>77</v>
      </c>
      <c r="F43" s="2" t="s">
        <v>78</v>
      </c>
      <c r="G43" s="2">
        <v>1</v>
      </c>
      <c r="H43" s="2">
        <v>5560</v>
      </c>
      <c r="I43" s="2">
        <v>20</v>
      </c>
      <c r="J43" s="2">
        <v>1112</v>
      </c>
      <c r="K43" s="2">
        <v>4448</v>
      </c>
      <c r="L43" s="2" t="s">
        <v>175</v>
      </c>
      <c r="M43" s="2" t="str">
        <f t="shared" si="0"/>
        <v>Mar</v>
      </c>
      <c r="N43" s="2" t="s">
        <v>32</v>
      </c>
      <c r="O43" s="2" t="s">
        <v>55</v>
      </c>
      <c r="P43" s="2" t="s">
        <v>34</v>
      </c>
      <c r="Q43" s="2">
        <v>9</v>
      </c>
    </row>
    <row r="44" spans="1:17" x14ac:dyDescent="0.25">
      <c r="A44" s="3" t="s">
        <v>176</v>
      </c>
      <c r="B44" s="3" t="s">
        <v>177</v>
      </c>
      <c r="C44" s="3" t="s">
        <v>178</v>
      </c>
      <c r="D44" s="3" t="s">
        <v>38</v>
      </c>
      <c r="E44" s="3" t="s">
        <v>127</v>
      </c>
      <c r="F44" s="3" t="s">
        <v>74</v>
      </c>
      <c r="G44" s="3">
        <v>3</v>
      </c>
      <c r="H44" s="3">
        <v>2260</v>
      </c>
      <c r="I44" s="3">
        <v>10</v>
      </c>
      <c r="J44" s="3">
        <v>678</v>
      </c>
      <c r="K44" s="3">
        <v>6102</v>
      </c>
      <c r="L44" s="3" t="s">
        <v>179</v>
      </c>
      <c r="M44" s="2" t="str">
        <f t="shared" si="0"/>
        <v>Jan</v>
      </c>
      <c r="N44" s="3" t="s">
        <v>32</v>
      </c>
      <c r="O44" s="3" t="s">
        <v>33</v>
      </c>
      <c r="P44" s="3" t="s">
        <v>27</v>
      </c>
      <c r="Q44" s="2">
        <v>1</v>
      </c>
    </row>
    <row r="45" spans="1:17" x14ac:dyDescent="0.25">
      <c r="A45" s="2" t="s">
        <v>180</v>
      </c>
      <c r="B45" s="2" t="s">
        <v>42</v>
      </c>
      <c r="C45" s="2" t="s">
        <v>43</v>
      </c>
      <c r="D45" s="2" t="s">
        <v>44</v>
      </c>
      <c r="E45" s="2" t="s">
        <v>77</v>
      </c>
      <c r="F45" s="2" t="s">
        <v>78</v>
      </c>
      <c r="G45" s="2">
        <v>1</v>
      </c>
      <c r="H45" s="2">
        <v>2010</v>
      </c>
      <c r="I45" s="2">
        <v>5</v>
      </c>
      <c r="J45" s="2">
        <v>100.5</v>
      </c>
      <c r="K45" s="2">
        <v>1909.5</v>
      </c>
      <c r="L45" s="2" t="s">
        <v>181</v>
      </c>
      <c r="M45" s="2" t="str">
        <f t="shared" si="0"/>
        <v>Nov</v>
      </c>
      <c r="N45" s="2" t="s">
        <v>54</v>
      </c>
      <c r="O45" s="2" t="s">
        <v>55</v>
      </c>
      <c r="P45" s="2" t="s">
        <v>34</v>
      </c>
      <c r="Q45" s="2">
        <v>1</v>
      </c>
    </row>
    <row r="46" spans="1:17" x14ac:dyDescent="0.25">
      <c r="A46" s="3" t="s">
        <v>182</v>
      </c>
      <c r="B46" s="3" t="s">
        <v>58</v>
      </c>
      <c r="C46" s="3" t="s">
        <v>59</v>
      </c>
      <c r="D46" s="3" t="s">
        <v>60</v>
      </c>
      <c r="E46" s="3" t="s">
        <v>144</v>
      </c>
      <c r="F46" s="3" t="s">
        <v>70</v>
      </c>
      <c r="G46" s="3">
        <v>5</v>
      </c>
      <c r="H46" s="3">
        <v>1030</v>
      </c>
      <c r="I46" s="3">
        <v>0</v>
      </c>
      <c r="J46" s="3">
        <v>0</v>
      </c>
      <c r="K46" s="3">
        <v>5150</v>
      </c>
      <c r="L46" s="3" t="s">
        <v>183</v>
      </c>
      <c r="M46" s="2" t="str">
        <f t="shared" si="0"/>
        <v>Dec</v>
      </c>
      <c r="N46" s="3" t="s">
        <v>54</v>
      </c>
      <c r="O46" s="3" t="s">
        <v>26</v>
      </c>
      <c r="P46" s="3" t="s">
        <v>34</v>
      </c>
      <c r="Q46" s="2">
        <v>1</v>
      </c>
    </row>
    <row r="47" spans="1:17" x14ac:dyDescent="0.25">
      <c r="A47" s="2" t="s">
        <v>184</v>
      </c>
      <c r="B47" s="2" t="s">
        <v>114</v>
      </c>
      <c r="C47" s="2" t="s">
        <v>115</v>
      </c>
      <c r="D47" s="2" t="s">
        <v>116</v>
      </c>
      <c r="E47" s="2" t="s">
        <v>29</v>
      </c>
      <c r="F47" s="2" t="s">
        <v>30</v>
      </c>
      <c r="G47" s="2">
        <v>2</v>
      </c>
      <c r="H47" s="2">
        <v>190</v>
      </c>
      <c r="I47" s="2">
        <v>0</v>
      </c>
      <c r="J47" s="2">
        <v>0</v>
      </c>
      <c r="K47" s="2">
        <v>380</v>
      </c>
      <c r="L47" s="2" t="s">
        <v>118</v>
      </c>
      <c r="M47" s="2" t="str">
        <f t="shared" si="0"/>
        <v>Jun</v>
      </c>
      <c r="N47" s="2" t="s">
        <v>25</v>
      </c>
      <c r="O47" s="2" t="s">
        <v>55</v>
      </c>
      <c r="P47" s="2" t="s">
        <v>112</v>
      </c>
      <c r="Q47" s="2">
        <v>5</v>
      </c>
    </row>
    <row r="48" spans="1:17" x14ac:dyDescent="0.25">
      <c r="A48" s="3" t="s">
        <v>185</v>
      </c>
      <c r="B48" s="3" t="s">
        <v>125</v>
      </c>
      <c r="C48" s="3" t="s">
        <v>126</v>
      </c>
      <c r="D48" s="3" t="s">
        <v>38</v>
      </c>
      <c r="E48" s="3" t="s">
        <v>156</v>
      </c>
      <c r="F48" s="3" t="s">
        <v>23</v>
      </c>
      <c r="G48" s="3">
        <v>3</v>
      </c>
      <c r="H48" s="3">
        <v>19200</v>
      </c>
      <c r="I48" s="3">
        <v>5</v>
      </c>
      <c r="J48" s="3">
        <v>2880</v>
      </c>
      <c r="K48" s="3">
        <v>54720</v>
      </c>
      <c r="L48" s="3" t="s">
        <v>186</v>
      </c>
      <c r="M48" s="2" t="str">
        <f t="shared" si="0"/>
        <v>Dec</v>
      </c>
      <c r="N48" s="3" t="s">
        <v>54</v>
      </c>
      <c r="O48" s="3" t="s">
        <v>33</v>
      </c>
      <c r="P48" s="3" t="s">
        <v>34</v>
      </c>
      <c r="Q48" s="2">
        <v>8</v>
      </c>
    </row>
    <row r="49" spans="1:17" x14ac:dyDescent="0.25">
      <c r="A49" s="2" t="s">
        <v>187</v>
      </c>
      <c r="B49" s="2" t="s">
        <v>42</v>
      </c>
      <c r="C49" s="2" t="s">
        <v>43</v>
      </c>
      <c r="D49" s="2" t="s">
        <v>44</v>
      </c>
      <c r="E49" s="2" t="s">
        <v>144</v>
      </c>
      <c r="F49" s="2" t="s">
        <v>70</v>
      </c>
      <c r="G49" s="2">
        <v>5</v>
      </c>
      <c r="H49" s="2">
        <v>3250</v>
      </c>
      <c r="I49" s="2">
        <v>5</v>
      </c>
      <c r="J49" s="2">
        <v>812.5</v>
      </c>
      <c r="K49" s="2">
        <v>15437.5</v>
      </c>
      <c r="L49" s="2" t="s">
        <v>188</v>
      </c>
      <c r="M49" s="2" t="str">
        <f t="shared" si="0"/>
        <v>Mar</v>
      </c>
      <c r="N49" s="2" t="s">
        <v>32</v>
      </c>
      <c r="O49" s="2" t="s">
        <v>26</v>
      </c>
      <c r="P49" s="2" t="s">
        <v>112</v>
      </c>
      <c r="Q49" s="2">
        <v>9</v>
      </c>
    </row>
    <row r="50" spans="1:17" x14ac:dyDescent="0.25">
      <c r="A50" s="3" t="s">
        <v>189</v>
      </c>
      <c r="B50" s="3" t="s">
        <v>36</v>
      </c>
      <c r="C50" s="3" t="s">
        <v>37</v>
      </c>
      <c r="D50" s="3" t="s">
        <v>38</v>
      </c>
      <c r="E50" s="3" t="s">
        <v>122</v>
      </c>
      <c r="F50" s="3" t="s">
        <v>74</v>
      </c>
      <c r="G50" s="3">
        <v>3</v>
      </c>
      <c r="H50" s="3">
        <v>1670</v>
      </c>
      <c r="I50" s="3">
        <v>15</v>
      </c>
      <c r="J50" s="3">
        <v>751.5</v>
      </c>
      <c r="K50" s="3">
        <v>4258.5</v>
      </c>
      <c r="L50" s="3" t="s">
        <v>190</v>
      </c>
      <c r="M50" s="2" t="str">
        <f t="shared" si="0"/>
        <v>Dec</v>
      </c>
      <c r="N50" s="3" t="s">
        <v>54</v>
      </c>
      <c r="O50" s="3" t="s">
        <v>26</v>
      </c>
      <c r="P50" s="3" t="s">
        <v>34</v>
      </c>
      <c r="Q50" s="2">
        <v>3</v>
      </c>
    </row>
    <row r="51" spans="1:17" x14ac:dyDescent="0.25">
      <c r="A51" s="2" t="s">
        <v>191</v>
      </c>
      <c r="B51" s="2" t="s">
        <v>49</v>
      </c>
      <c r="C51" s="2" t="s">
        <v>50</v>
      </c>
      <c r="D51" s="2" t="s">
        <v>51</v>
      </c>
      <c r="E51" s="2" t="s">
        <v>151</v>
      </c>
      <c r="F51" s="2" t="s">
        <v>70</v>
      </c>
      <c r="G51" s="2">
        <v>1</v>
      </c>
      <c r="H51" s="2">
        <v>720</v>
      </c>
      <c r="I51" s="2">
        <v>5</v>
      </c>
      <c r="J51" s="2">
        <v>36</v>
      </c>
      <c r="K51" s="2">
        <v>684</v>
      </c>
      <c r="L51" s="2" t="s">
        <v>192</v>
      </c>
      <c r="M51" s="2" t="str">
        <f t="shared" si="0"/>
        <v>Apr</v>
      </c>
      <c r="N51" s="2" t="s">
        <v>25</v>
      </c>
      <c r="O51" s="2" t="s">
        <v>93</v>
      </c>
      <c r="P51" s="2" t="s">
        <v>34</v>
      </c>
      <c r="Q51" s="2">
        <v>4.5999999999999996</v>
      </c>
    </row>
    <row r="52" spans="1:17" x14ac:dyDescent="0.25">
      <c r="A52" s="3" t="s">
        <v>193</v>
      </c>
      <c r="B52" s="3" t="s">
        <v>42</v>
      </c>
      <c r="C52" s="3" t="s">
        <v>43</v>
      </c>
      <c r="D52" s="3" t="s">
        <v>44</v>
      </c>
      <c r="E52" s="3" t="s">
        <v>73</v>
      </c>
      <c r="F52" s="3" t="s">
        <v>74</v>
      </c>
      <c r="G52" s="3">
        <v>2</v>
      </c>
      <c r="H52" s="3">
        <v>840</v>
      </c>
      <c r="I52" s="3">
        <v>5</v>
      </c>
      <c r="J52" s="3">
        <v>84</v>
      </c>
      <c r="K52" s="3">
        <v>1596</v>
      </c>
      <c r="L52" s="3" t="s">
        <v>194</v>
      </c>
      <c r="M52" s="2" t="str">
        <f t="shared" si="0"/>
        <v>Jul</v>
      </c>
      <c r="N52" s="3" t="s">
        <v>40</v>
      </c>
      <c r="O52" s="3" t="s">
        <v>55</v>
      </c>
      <c r="P52" s="3" t="s">
        <v>34</v>
      </c>
      <c r="Q52" s="3">
        <v>2.7</v>
      </c>
    </row>
    <row r="53" spans="1:17" x14ac:dyDescent="0.25">
      <c r="A53" s="2" t="s">
        <v>195</v>
      </c>
      <c r="B53" s="2" t="s">
        <v>125</v>
      </c>
      <c r="C53" s="2" t="s">
        <v>126</v>
      </c>
      <c r="D53" s="2" t="s">
        <v>38</v>
      </c>
      <c r="E53" s="2" t="s">
        <v>77</v>
      </c>
      <c r="F53" s="2" t="s">
        <v>78</v>
      </c>
      <c r="G53" s="2">
        <v>3</v>
      </c>
      <c r="H53" s="2">
        <v>4570</v>
      </c>
      <c r="I53" s="2">
        <v>15</v>
      </c>
      <c r="J53" s="2">
        <v>2056.5</v>
      </c>
      <c r="K53" s="2">
        <v>11653.5</v>
      </c>
      <c r="L53" s="2" t="s">
        <v>196</v>
      </c>
      <c r="M53" s="2" t="str">
        <f t="shared" si="0"/>
        <v>Dec</v>
      </c>
      <c r="N53" s="2" t="s">
        <v>54</v>
      </c>
      <c r="O53" s="2" t="s">
        <v>64</v>
      </c>
      <c r="P53" s="2" t="s">
        <v>34</v>
      </c>
      <c r="Q53" s="2">
        <v>2.6</v>
      </c>
    </row>
    <row r="54" spans="1:17" x14ac:dyDescent="0.25">
      <c r="A54" s="3" t="s">
        <v>197</v>
      </c>
      <c r="B54" s="3" t="s">
        <v>66</v>
      </c>
      <c r="C54" s="3" t="s">
        <v>67</v>
      </c>
      <c r="D54" s="3" t="s">
        <v>68</v>
      </c>
      <c r="E54" s="3" t="s">
        <v>77</v>
      </c>
      <c r="F54" s="3" t="s">
        <v>78</v>
      </c>
      <c r="G54" s="3">
        <v>2</v>
      </c>
      <c r="H54" s="3">
        <v>4320</v>
      </c>
      <c r="I54" s="3">
        <v>10</v>
      </c>
      <c r="J54" s="3">
        <v>864</v>
      </c>
      <c r="K54" s="3">
        <v>7776</v>
      </c>
      <c r="L54" s="3" t="s">
        <v>198</v>
      </c>
      <c r="M54" s="2" t="str">
        <f t="shared" si="0"/>
        <v>Jan</v>
      </c>
      <c r="N54" s="3" t="s">
        <v>32</v>
      </c>
      <c r="O54" s="3" t="s">
        <v>33</v>
      </c>
      <c r="P54" s="3" t="s">
        <v>27</v>
      </c>
      <c r="Q54" s="3"/>
    </row>
    <row r="55" spans="1:17" x14ac:dyDescent="0.25">
      <c r="A55" s="2" t="s">
        <v>199</v>
      </c>
      <c r="B55" s="2" t="s">
        <v>177</v>
      </c>
      <c r="C55" s="2" t="s">
        <v>178</v>
      </c>
      <c r="D55" s="2" t="s">
        <v>38</v>
      </c>
      <c r="E55" s="2" t="s">
        <v>117</v>
      </c>
      <c r="F55" s="2" t="s">
        <v>78</v>
      </c>
      <c r="G55" s="2">
        <v>4</v>
      </c>
      <c r="H55" s="2">
        <v>1410</v>
      </c>
      <c r="I55" s="2">
        <v>20</v>
      </c>
      <c r="J55" s="2">
        <v>1128</v>
      </c>
      <c r="K55" s="2">
        <v>4512</v>
      </c>
      <c r="L55" s="2" t="s">
        <v>200</v>
      </c>
      <c r="M55" s="2" t="str">
        <f t="shared" si="0"/>
        <v>Feb</v>
      </c>
      <c r="N55" s="2" t="s">
        <v>32</v>
      </c>
      <c r="O55" s="2" t="s">
        <v>93</v>
      </c>
      <c r="P55" s="2" t="s">
        <v>112</v>
      </c>
      <c r="Q55" s="2"/>
    </row>
    <row r="56" spans="1:17" x14ac:dyDescent="0.25">
      <c r="A56" s="3" t="s">
        <v>201</v>
      </c>
      <c r="B56" s="3" t="s">
        <v>134</v>
      </c>
      <c r="C56" s="3" t="s">
        <v>135</v>
      </c>
      <c r="D56" s="3" t="s">
        <v>68</v>
      </c>
      <c r="E56" s="3" t="s">
        <v>77</v>
      </c>
      <c r="F56" s="3" t="s">
        <v>78</v>
      </c>
      <c r="G56" s="3">
        <v>1</v>
      </c>
      <c r="H56" s="3">
        <v>4840</v>
      </c>
      <c r="I56" s="3">
        <v>0</v>
      </c>
      <c r="J56" s="3">
        <v>0</v>
      </c>
      <c r="K56" s="3">
        <v>4840</v>
      </c>
      <c r="L56" s="3" t="s">
        <v>202</v>
      </c>
      <c r="M56" s="2" t="str">
        <f t="shared" si="0"/>
        <v>Sep</v>
      </c>
      <c r="N56" s="3" t="s">
        <v>40</v>
      </c>
      <c r="O56" s="3" t="s">
        <v>64</v>
      </c>
      <c r="P56" s="3" t="s">
        <v>27</v>
      </c>
      <c r="Q56" s="3"/>
    </row>
    <row r="57" spans="1:17" x14ac:dyDescent="0.25">
      <c r="A57" s="2" t="s">
        <v>203</v>
      </c>
      <c r="B57" s="2" t="s">
        <v>58</v>
      </c>
      <c r="C57" s="2" t="s">
        <v>59</v>
      </c>
      <c r="D57" s="2" t="s">
        <v>60</v>
      </c>
      <c r="E57" s="2" t="s">
        <v>127</v>
      </c>
      <c r="F57" s="2" t="s">
        <v>74</v>
      </c>
      <c r="G57" s="2">
        <v>3</v>
      </c>
      <c r="H57" s="2">
        <v>2080</v>
      </c>
      <c r="I57" s="2">
        <v>10</v>
      </c>
      <c r="J57" s="2">
        <v>624</v>
      </c>
      <c r="K57" s="2">
        <v>5616</v>
      </c>
      <c r="L57" s="2" t="s">
        <v>204</v>
      </c>
      <c r="M57" s="2" t="str">
        <f t="shared" si="0"/>
        <v>Nov</v>
      </c>
      <c r="N57" s="2" t="s">
        <v>54</v>
      </c>
      <c r="O57" s="2" t="s">
        <v>55</v>
      </c>
      <c r="P57" s="2" t="s">
        <v>27</v>
      </c>
      <c r="Q57" s="2"/>
    </row>
    <row r="58" spans="1:17" x14ac:dyDescent="0.25">
      <c r="A58" s="3" t="s">
        <v>205</v>
      </c>
      <c r="B58" s="3" t="s">
        <v>49</v>
      </c>
      <c r="C58" s="3" t="s">
        <v>50</v>
      </c>
      <c r="D58" s="3" t="s">
        <v>51</v>
      </c>
      <c r="E58" s="3" t="s">
        <v>206</v>
      </c>
      <c r="F58" s="3" t="s">
        <v>78</v>
      </c>
      <c r="G58" s="3">
        <v>5</v>
      </c>
      <c r="H58" s="3">
        <v>2580</v>
      </c>
      <c r="I58" s="3">
        <v>15</v>
      </c>
      <c r="J58" s="3">
        <v>1935</v>
      </c>
      <c r="K58" s="3">
        <v>10965</v>
      </c>
      <c r="L58" s="3" t="s">
        <v>207</v>
      </c>
      <c r="M58" s="2" t="str">
        <f t="shared" si="0"/>
        <v>Jun</v>
      </c>
      <c r="N58" s="3" t="s">
        <v>25</v>
      </c>
      <c r="O58" s="3" t="s">
        <v>93</v>
      </c>
      <c r="P58" s="3" t="s">
        <v>27</v>
      </c>
      <c r="Q58" s="3"/>
    </row>
    <row r="59" spans="1:17" x14ac:dyDescent="0.25">
      <c r="A59" s="2" t="s">
        <v>208</v>
      </c>
      <c r="B59" s="2" t="s">
        <v>103</v>
      </c>
      <c r="C59" s="2" t="s">
        <v>104</v>
      </c>
      <c r="D59" s="2" t="s">
        <v>105</v>
      </c>
      <c r="E59" s="2" t="s">
        <v>95</v>
      </c>
      <c r="F59" s="2" t="s">
        <v>23</v>
      </c>
      <c r="G59" s="2">
        <v>2</v>
      </c>
      <c r="H59" s="2">
        <v>9200</v>
      </c>
      <c r="I59" s="2">
        <v>15</v>
      </c>
      <c r="J59" s="2">
        <v>2760</v>
      </c>
      <c r="K59" s="2">
        <v>15640</v>
      </c>
      <c r="L59" s="2" t="s">
        <v>209</v>
      </c>
      <c r="M59" s="2" t="str">
        <f t="shared" si="0"/>
        <v>Dec</v>
      </c>
      <c r="N59" s="2" t="s">
        <v>54</v>
      </c>
      <c r="O59" s="2" t="s">
        <v>26</v>
      </c>
      <c r="P59" s="2" t="s">
        <v>27</v>
      </c>
      <c r="Q59" s="2"/>
    </row>
    <row r="60" spans="1:17" x14ac:dyDescent="0.25">
      <c r="A60" s="3" t="s">
        <v>210</v>
      </c>
      <c r="B60" s="3" t="s">
        <v>171</v>
      </c>
      <c r="C60" s="3" t="s">
        <v>172</v>
      </c>
      <c r="D60" s="3" t="s">
        <v>60</v>
      </c>
      <c r="E60" s="3" t="s">
        <v>151</v>
      </c>
      <c r="F60" s="3" t="s">
        <v>70</v>
      </c>
      <c r="G60" s="3">
        <v>5</v>
      </c>
      <c r="H60" s="3">
        <v>700</v>
      </c>
      <c r="I60" s="3">
        <v>10</v>
      </c>
      <c r="J60" s="3">
        <v>350</v>
      </c>
      <c r="K60" s="3">
        <v>3150</v>
      </c>
      <c r="L60" s="3" t="s">
        <v>211</v>
      </c>
      <c r="M60" s="2" t="str">
        <f t="shared" si="0"/>
        <v>May</v>
      </c>
      <c r="N60" s="3" t="s">
        <v>25</v>
      </c>
      <c r="O60" s="3" t="s">
        <v>26</v>
      </c>
      <c r="P60" s="3" t="s">
        <v>34</v>
      </c>
      <c r="Q60" s="3">
        <v>3.9</v>
      </c>
    </row>
    <row r="61" spans="1:17" x14ac:dyDescent="0.25">
      <c r="A61" s="2" t="s">
        <v>212</v>
      </c>
      <c r="B61" s="2" t="s">
        <v>19</v>
      </c>
      <c r="C61" s="2" t="s">
        <v>20</v>
      </c>
      <c r="D61" s="2" t="s">
        <v>21</v>
      </c>
      <c r="E61" s="2" t="s">
        <v>117</v>
      </c>
      <c r="F61" s="2" t="s">
        <v>78</v>
      </c>
      <c r="G61" s="2">
        <v>4</v>
      </c>
      <c r="H61" s="2">
        <v>1160</v>
      </c>
      <c r="I61" s="2">
        <v>5</v>
      </c>
      <c r="J61" s="2">
        <v>232</v>
      </c>
      <c r="K61" s="2">
        <v>4408</v>
      </c>
      <c r="L61" s="2" t="s">
        <v>213</v>
      </c>
      <c r="M61" s="2" t="str">
        <f t="shared" si="0"/>
        <v>Sep</v>
      </c>
      <c r="N61" s="2" t="s">
        <v>40</v>
      </c>
      <c r="O61" s="2" t="s">
        <v>93</v>
      </c>
      <c r="P61" s="2" t="s">
        <v>56</v>
      </c>
      <c r="Q61" s="2"/>
    </row>
    <row r="62" spans="1:17" x14ac:dyDescent="0.25">
      <c r="A62" s="3" t="s">
        <v>214</v>
      </c>
      <c r="B62" s="3" t="s">
        <v>125</v>
      </c>
      <c r="C62" s="3" t="s">
        <v>126</v>
      </c>
      <c r="D62" s="3" t="s">
        <v>38</v>
      </c>
      <c r="E62" s="3" t="s">
        <v>122</v>
      </c>
      <c r="F62" s="3" t="s">
        <v>74</v>
      </c>
      <c r="G62" s="3">
        <v>1</v>
      </c>
      <c r="H62" s="3">
        <v>930</v>
      </c>
      <c r="I62" s="3">
        <v>20</v>
      </c>
      <c r="J62" s="3">
        <v>186</v>
      </c>
      <c r="K62" s="3">
        <v>744</v>
      </c>
      <c r="L62" s="3" t="s">
        <v>215</v>
      </c>
      <c r="M62" s="2" t="str">
        <f t="shared" si="0"/>
        <v>Jun</v>
      </c>
      <c r="N62" s="3" t="s">
        <v>25</v>
      </c>
      <c r="O62" s="3" t="s">
        <v>33</v>
      </c>
      <c r="P62" s="3" t="s">
        <v>56</v>
      </c>
      <c r="Q62" s="3"/>
    </row>
    <row r="63" spans="1:17" x14ac:dyDescent="0.25">
      <c r="A63" s="2" t="s">
        <v>216</v>
      </c>
      <c r="B63" s="2" t="s">
        <v>125</v>
      </c>
      <c r="C63" s="2" t="s">
        <v>126</v>
      </c>
      <c r="D63" s="2" t="s">
        <v>38</v>
      </c>
      <c r="E63" s="2" t="s">
        <v>73</v>
      </c>
      <c r="F63" s="2" t="s">
        <v>74</v>
      </c>
      <c r="G63" s="2">
        <v>3</v>
      </c>
      <c r="H63" s="2">
        <v>1180</v>
      </c>
      <c r="I63" s="2">
        <v>5</v>
      </c>
      <c r="J63" s="2">
        <v>177</v>
      </c>
      <c r="K63" s="2">
        <v>3363</v>
      </c>
      <c r="L63" s="2" t="s">
        <v>217</v>
      </c>
      <c r="M63" s="2" t="str">
        <f t="shared" si="0"/>
        <v>Mar</v>
      </c>
      <c r="N63" s="2" t="s">
        <v>32</v>
      </c>
      <c r="O63" s="2" t="s">
        <v>33</v>
      </c>
      <c r="P63" s="2" t="s">
        <v>34</v>
      </c>
      <c r="Q63" s="2">
        <v>5</v>
      </c>
    </row>
    <row r="64" spans="1:17" x14ac:dyDescent="0.25">
      <c r="A64" s="3" t="s">
        <v>218</v>
      </c>
      <c r="B64" s="3" t="s">
        <v>114</v>
      </c>
      <c r="C64" s="3" t="s">
        <v>115</v>
      </c>
      <c r="D64" s="3" t="s">
        <v>116</v>
      </c>
      <c r="E64" s="3" t="s">
        <v>52</v>
      </c>
      <c r="F64" s="3" t="s">
        <v>23</v>
      </c>
      <c r="G64" s="3">
        <v>4</v>
      </c>
      <c r="H64" s="3">
        <v>28290</v>
      </c>
      <c r="I64" s="3">
        <v>20</v>
      </c>
      <c r="J64" s="3">
        <v>22632</v>
      </c>
      <c r="K64" s="3">
        <v>90528</v>
      </c>
      <c r="L64" s="3" t="s">
        <v>219</v>
      </c>
      <c r="M64" s="2" t="str">
        <f t="shared" si="0"/>
        <v>Apr</v>
      </c>
      <c r="N64" s="3" t="s">
        <v>25</v>
      </c>
      <c r="O64" s="3" t="s">
        <v>93</v>
      </c>
      <c r="P64" s="3" t="s">
        <v>34</v>
      </c>
      <c r="Q64" s="3">
        <v>3.1</v>
      </c>
    </row>
    <row r="65" spans="1:17" x14ac:dyDescent="0.25">
      <c r="A65" s="2" t="s">
        <v>220</v>
      </c>
      <c r="B65" s="2" t="s">
        <v>19</v>
      </c>
      <c r="C65" s="2" t="s">
        <v>20</v>
      </c>
      <c r="D65" s="2" t="s">
        <v>21</v>
      </c>
      <c r="E65" s="2" t="s">
        <v>45</v>
      </c>
      <c r="F65" s="2" t="s">
        <v>23</v>
      </c>
      <c r="G65" s="2">
        <v>1</v>
      </c>
      <c r="H65" s="2">
        <v>52780</v>
      </c>
      <c r="I65" s="2">
        <v>5</v>
      </c>
      <c r="J65" s="2">
        <v>2639</v>
      </c>
      <c r="K65" s="2">
        <v>50141</v>
      </c>
      <c r="L65" s="2" t="s">
        <v>221</v>
      </c>
      <c r="M65" s="2" t="str">
        <f t="shared" si="0"/>
        <v>Mar</v>
      </c>
      <c r="N65" s="2" t="s">
        <v>32</v>
      </c>
      <c r="O65" s="2" t="s">
        <v>64</v>
      </c>
      <c r="P65" s="2" t="s">
        <v>34</v>
      </c>
      <c r="Q65" s="2">
        <v>3.9</v>
      </c>
    </row>
    <row r="66" spans="1:17" x14ac:dyDescent="0.25">
      <c r="A66" s="3" t="s">
        <v>222</v>
      </c>
      <c r="B66" s="3" t="s">
        <v>66</v>
      </c>
      <c r="C66" s="3" t="s">
        <v>67</v>
      </c>
      <c r="D66" s="3" t="s">
        <v>68</v>
      </c>
      <c r="E66" s="3" t="s">
        <v>22</v>
      </c>
      <c r="F66" s="3" t="s">
        <v>23</v>
      </c>
      <c r="G66" s="3">
        <v>4</v>
      </c>
      <c r="H66" s="3">
        <v>2800</v>
      </c>
      <c r="I66" s="3">
        <v>15</v>
      </c>
      <c r="J66" s="3">
        <v>1680</v>
      </c>
      <c r="K66" s="3">
        <v>9520</v>
      </c>
      <c r="L66" s="3" t="s">
        <v>186</v>
      </c>
      <c r="M66" s="2" t="str">
        <f t="shared" si="0"/>
        <v>Dec</v>
      </c>
      <c r="N66" s="3" t="s">
        <v>54</v>
      </c>
      <c r="O66" s="3" t="s">
        <v>64</v>
      </c>
      <c r="P66" s="3" t="s">
        <v>223</v>
      </c>
      <c r="Q66" s="3"/>
    </row>
    <row r="67" spans="1:17" x14ac:dyDescent="0.25">
      <c r="A67" s="2" t="s">
        <v>224</v>
      </c>
      <c r="B67" s="2" t="s">
        <v>114</v>
      </c>
      <c r="C67" s="2" t="s">
        <v>115</v>
      </c>
      <c r="D67" s="2" t="s">
        <v>116</v>
      </c>
      <c r="E67" s="2" t="s">
        <v>117</v>
      </c>
      <c r="F67" s="2" t="s">
        <v>78</v>
      </c>
      <c r="G67" s="2">
        <v>4</v>
      </c>
      <c r="H67" s="2">
        <v>1420</v>
      </c>
      <c r="I67" s="2">
        <v>20</v>
      </c>
      <c r="J67" s="2">
        <v>1136</v>
      </c>
      <c r="K67" s="2">
        <v>4544</v>
      </c>
      <c r="L67" s="2" t="s">
        <v>225</v>
      </c>
      <c r="M67" s="2" t="str">
        <f t="shared" si="0"/>
        <v>Aug</v>
      </c>
      <c r="N67" s="2" t="s">
        <v>40</v>
      </c>
      <c r="O67" s="2" t="s">
        <v>64</v>
      </c>
      <c r="P67" s="2" t="s">
        <v>34</v>
      </c>
      <c r="Q67" s="2">
        <v>2.9</v>
      </c>
    </row>
    <row r="68" spans="1:17" x14ac:dyDescent="0.25">
      <c r="A68" s="3" t="s">
        <v>226</v>
      </c>
      <c r="B68" s="3" t="s">
        <v>42</v>
      </c>
      <c r="C68" s="3" t="s">
        <v>43</v>
      </c>
      <c r="D68" s="3" t="s">
        <v>44</v>
      </c>
      <c r="E68" s="3" t="s">
        <v>227</v>
      </c>
      <c r="F68" s="3" t="s">
        <v>62</v>
      </c>
      <c r="G68" s="3">
        <v>4</v>
      </c>
      <c r="H68" s="3">
        <v>680</v>
      </c>
      <c r="I68" s="3">
        <v>5</v>
      </c>
      <c r="J68" s="3">
        <v>136</v>
      </c>
      <c r="K68" s="3">
        <v>2584</v>
      </c>
      <c r="L68" s="3" t="s">
        <v>181</v>
      </c>
      <c r="M68" s="2" t="str">
        <f t="shared" ref="M68:M131" si="1">TEXT(L68,"mmm")</f>
        <v>Nov</v>
      </c>
      <c r="N68" s="3" t="s">
        <v>54</v>
      </c>
      <c r="O68" s="3" t="s">
        <v>55</v>
      </c>
      <c r="P68" s="3" t="s">
        <v>56</v>
      </c>
      <c r="Q68" s="3"/>
    </row>
    <row r="69" spans="1:17" x14ac:dyDescent="0.25">
      <c r="A69" s="2" t="s">
        <v>228</v>
      </c>
      <c r="B69" s="2" t="s">
        <v>103</v>
      </c>
      <c r="C69" s="2" t="s">
        <v>104</v>
      </c>
      <c r="D69" s="2" t="s">
        <v>105</v>
      </c>
      <c r="E69" s="2" t="s">
        <v>227</v>
      </c>
      <c r="F69" s="2" t="s">
        <v>62</v>
      </c>
      <c r="G69" s="2">
        <v>2</v>
      </c>
      <c r="H69" s="2">
        <v>690</v>
      </c>
      <c r="I69" s="2">
        <v>0</v>
      </c>
      <c r="J69" s="2">
        <v>0</v>
      </c>
      <c r="K69" s="2">
        <v>1380</v>
      </c>
      <c r="L69" s="2" t="s">
        <v>211</v>
      </c>
      <c r="M69" s="2" t="str">
        <f t="shared" si="1"/>
        <v>May</v>
      </c>
      <c r="N69" s="2" t="s">
        <v>25</v>
      </c>
      <c r="O69" s="2" t="s">
        <v>26</v>
      </c>
      <c r="P69" s="2" t="s">
        <v>34</v>
      </c>
      <c r="Q69" s="2">
        <v>3.3</v>
      </c>
    </row>
    <row r="70" spans="1:17" x14ac:dyDescent="0.25">
      <c r="A70" s="3" t="s">
        <v>229</v>
      </c>
      <c r="B70" s="3" t="s">
        <v>103</v>
      </c>
      <c r="C70" s="3" t="s">
        <v>104</v>
      </c>
      <c r="D70" s="3" t="s">
        <v>105</v>
      </c>
      <c r="E70" s="3" t="s">
        <v>52</v>
      </c>
      <c r="F70" s="3" t="s">
        <v>23</v>
      </c>
      <c r="G70" s="3">
        <v>2</v>
      </c>
      <c r="H70" s="3">
        <v>23020</v>
      </c>
      <c r="I70" s="3">
        <v>15</v>
      </c>
      <c r="J70" s="3">
        <v>6906</v>
      </c>
      <c r="K70" s="3">
        <v>39134</v>
      </c>
      <c r="L70" s="3" t="s">
        <v>230</v>
      </c>
      <c r="M70" s="2" t="str">
        <f t="shared" si="1"/>
        <v>Dec</v>
      </c>
      <c r="N70" s="3" t="s">
        <v>54</v>
      </c>
      <c r="O70" s="3" t="s">
        <v>26</v>
      </c>
      <c r="P70" s="3" t="s">
        <v>27</v>
      </c>
      <c r="Q70" s="3"/>
    </row>
    <row r="71" spans="1:17" x14ac:dyDescent="0.25">
      <c r="A71" s="2" t="s">
        <v>231</v>
      </c>
      <c r="B71" s="2" t="s">
        <v>49</v>
      </c>
      <c r="C71" s="2" t="s">
        <v>50</v>
      </c>
      <c r="D71" s="2" t="s">
        <v>51</v>
      </c>
      <c r="E71" s="2" t="s">
        <v>144</v>
      </c>
      <c r="F71" s="2" t="s">
        <v>70</v>
      </c>
      <c r="G71" s="2">
        <v>4</v>
      </c>
      <c r="H71" s="2">
        <v>1990</v>
      </c>
      <c r="I71" s="2">
        <v>15</v>
      </c>
      <c r="J71" s="2">
        <v>1194</v>
      </c>
      <c r="K71" s="2">
        <v>6766</v>
      </c>
      <c r="L71" s="2" t="s">
        <v>232</v>
      </c>
      <c r="M71" s="2" t="str">
        <f t="shared" si="1"/>
        <v>Jul</v>
      </c>
      <c r="N71" s="2" t="s">
        <v>40</v>
      </c>
      <c r="O71" s="2" t="s">
        <v>33</v>
      </c>
      <c r="P71" s="2" t="s">
        <v>34</v>
      </c>
      <c r="Q71" s="2">
        <v>3.6</v>
      </c>
    </row>
    <row r="72" spans="1:17" x14ac:dyDescent="0.25">
      <c r="A72" s="3" t="s">
        <v>233</v>
      </c>
      <c r="B72" s="3" t="s">
        <v>66</v>
      </c>
      <c r="C72" s="3" t="s">
        <v>67</v>
      </c>
      <c r="D72" s="3" t="s">
        <v>68</v>
      </c>
      <c r="E72" s="3" t="s">
        <v>90</v>
      </c>
      <c r="F72" s="3" t="s">
        <v>91</v>
      </c>
      <c r="G72" s="3">
        <v>1</v>
      </c>
      <c r="H72" s="3">
        <v>6430</v>
      </c>
      <c r="I72" s="3">
        <v>20</v>
      </c>
      <c r="J72" s="3">
        <v>1286</v>
      </c>
      <c r="K72" s="3">
        <v>5144</v>
      </c>
      <c r="L72" s="3" t="s">
        <v>234</v>
      </c>
      <c r="M72" s="2" t="str">
        <f t="shared" si="1"/>
        <v>Jul</v>
      </c>
      <c r="N72" s="3" t="s">
        <v>40</v>
      </c>
      <c r="O72" s="3" t="s">
        <v>93</v>
      </c>
      <c r="P72" s="3" t="s">
        <v>34</v>
      </c>
      <c r="Q72" s="3">
        <v>3.4</v>
      </c>
    </row>
    <row r="73" spans="1:17" x14ac:dyDescent="0.25">
      <c r="A73" s="2" t="s">
        <v>235</v>
      </c>
      <c r="B73" s="2" t="s">
        <v>125</v>
      </c>
      <c r="C73" s="2" t="s">
        <v>126</v>
      </c>
      <c r="D73" s="2" t="s">
        <v>38</v>
      </c>
      <c r="E73" s="2" t="s">
        <v>151</v>
      </c>
      <c r="F73" s="2" t="s">
        <v>70</v>
      </c>
      <c r="G73" s="2">
        <v>4</v>
      </c>
      <c r="H73" s="2">
        <v>520</v>
      </c>
      <c r="I73" s="2">
        <v>20</v>
      </c>
      <c r="J73" s="2">
        <v>416</v>
      </c>
      <c r="K73" s="2">
        <v>1664</v>
      </c>
      <c r="L73" s="2" t="s">
        <v>236</v>
      </c>
      <c r="M73" s="2" t="str">
        <f t="shared" si="1"/>
        <v>Nov</v>
      </c>
      <c r="N73" s="2" t="s">
        <v>54</v>
      </c>
      <c r="O73" s="2" t="s">
        <v>26</v>
      </c>
      <c r="P73" s="2" t="s">
        <v>34</v>
      </c>
      <c r="Q73" s="2">
        <v>3.2</v>
      </c>
    </row>
    <row r="74" spans="1:17" x14ac:dyDescent="0.25">
      <c r="A74" s="3" t="s">
        <v>237</v>
      </c>
      <c r="B74" s="3" t="s">
        <v>98</v>
      </c>
      <c r="C74" s="3" t="s">
        <v>99</v>
      </c>
      <c r="D74" s="3" t="s">
        <v>51</v>
      </c>
      <c r="E74" s="3" t="s">
        <v>45</v>
      </c>
      <c r="F74" s="3" t="s">
        <v>23</v>
      </c>
      <c r="G74" s="3">
        <v>4</v>
      </c>
      <c r="H74" s="3">
        <v>48360</v>
      </c>
      <c r="I74" s="3">
        <v>15</v>
      </c>
      <c r="J74" s="3">
        <v>29016</v>
      </c>
      <c r="K74" s="3">
        <v>164424</v>
      </c>
      <c r="L74" s="3" t="s">
        <v>238</v>
      </c>
      <c r="M74" s="2" t="str">
        <f t="shared" si="1"/>
        <v>Mar</v>
      </c>
      <c r="N74" s="3" t="s">
        <v>32</v>
      </c>
      <c r="O74" s="3" t="s">
        <v>93</v>
      </c>
      <c r="P74" s="3" t="s">
        <v>112</v>
      </c>
      <c r="Q74" s="3"/>
    </row>
    <row r="75" spans="1:17" x14ac:dyDescent="0.25">
      <c r="A75" s="2" t="s">
        <v>239</v>
      </c>
      <c r="B75" s="2" t="s">
        <v>114</v>
      </c>
      <c r="C75" s="2" t="s">
        <v>115</v>
      </c>
      <c r="D75" s="2" t="s">
        <v>116</v>
      </c>
      <c r="E75" s="2" t="s">
        <v>29</v>
      </c>
      <c r="F75" s="2" t="s">
        <v>30</v>
      </c>
      <c r="G75" s="2">
        <v>1</v>
      </c>
      <c r="H75" s="2">
        <v>280</v>
      </c>
      <c r="I75" s="2">
        <v>20</v>
      </c>
      <c r="J75" s="2">
        <v>56</v>
      </c>
      <c r="K75" s="2">
        <v>224</v>
      </c>
      <c r="L75" s="2" t="s">
        <v>240</v>
      </c>
      <c r="M75" s="2" t="str">
        <f t="shared" si="1"/>
        <v>Oct</v>
      </c>
      <c r="N75" s="2" t="s">
        <v>54</v>
      </c>
      <c r="O75" s="2" t="s">
        <v>33</v>
      </c>
      <c r="P75" s="2" t="s">
        <v>34</v>
      </c>
      <c r="Q75" s="2">
        <v>3.6</v>
      </c>
    </row>
    <row r="76" spans="1:17" x14ac:dyDescent="0.25">
      <c r="A76" s="3" t="s">
        <v>241</v>
      </c>
      <c r="B76" s="3" t="s">
        <v>42</v>
      </c>
      <c r="C76" s="3" t="s">
        <v>43</v>
      </c>
      <c r="D76" s="3" t="s">
        <v>44</v>
      </c>
      <c r="E76" s="3" t="s">
        <v>61</v>
      </c>
      <c r="F76" s="3" t="s">
        <v>62</v>
      </c>
      <c r="G76" s="3">
        <v>2</v>
      </c>
      <c r="H76" s="3">
        <v>320</v>
      </c>
      <c r="I76" s="3">
        <v>15</v>
      </c>
      <c r="J76" s="3">
        <v>96</v>
      </c>
      <c r="K76" s="3">
        <v>544</v>
      </c>
      <c r="L76" s="3" t="s">
        <v>207</v>
      </c>
      <c r="M76" s="2" t="str">
        <f t="shared" si="1"/>
        <v>Jun</v>
      </c>
      <c r="N76" s="3" t="s">
        <v>25</v>
      </c>
      <c r="O76" s="3" t="s">
        <v>26</v>
      </c>
      <c r="P76" s="3" t="s">
        <v>34</v>
      </c>
      <c r="Q76" s="3">
        <v>3.3</v>
      </c>
    </row>
    <row r="77" spans="1:17" x14ac:dyDescent="0.25">
      <c r="A77" s="2" t="s">
        <v>242</v>
      </c>
      <c r="B77" s="2" t="s">
        <v>66</v>
      </c>
      <c r="C77" s="2" t="s">
        <v>67</v>
      </c>
      <c r="D77" s="2" t="s">
        <v>68</v>
      </c>
      <c r="E77" s="2" t="s">
        <v>151</v>
      </c>
      <c r="F77" s="2" t="s">
        <v>70</v>
      </c>
      <c r="G77" s="2">
        <v>3</v>
      </c>
      <c r="H77" s="2">
        <v>650</v>
      </c>
      <c r="I77" s="2">
        <v>15</v>
      </c>
      <c r="J77" s="2">
        <v>292.5</v>
      </c>
      <c r="K77" s="2">
        <v>1657.5</v>
      </c>
      <c r="L77" s="2" t="s">
        <v>243</v>
      </c>
      <c r="M77" s="2" t="str">
        <f t="shared" si="1"/>
        <v>May</v>
      </c>
      <c r="N77" s="2" t="s">
        <v>25</v>
      </c>
      <c r="O77" s="2" t="s">
        <v>33</v>
      </c>
      <c r="P77" s="2" t="s">
        <v>34</v>
      </c>
      <c r="Q77" s="2">
        <v>4.4000000000000004</v>
      </c>
    </row>
    <row r="78" spans="1:17" x14ac:dyDescent="0.25">
      <c r="A78" s="3" t="s">
        <v>244</v>
      </c>
      <c r="B78" s="3" t="s">
        <v>36</v>
      </c>
      <c r="C78" s="3" t="s">
        <v>37</v>
      </c>
      <c r="D78" s="3" t="s">
        <v>38</v>
      </c>
      <c r="E78" s="3" t="s">
        <v>69</v>
      </c>
      <c r="F78" s="3" t="s">
        <v>70</v>
      </c>
      <c r="G78" s="3">
        <v>2</v>
      </c>
      <c r="H78" s="3">
        <v>1080</v>
      </c>
      <c r="I78" s="3">
        <v>0</v>
      </c>
      <c r="J78" s="3">
        <v>0</v>
      </c>
      <c r="K78" s="3">
        <v>2160</v>
      </c>
      <c r="L78" s="3" t="s">
        <v>31</v>
      </c>
      <c r="M78" s="2" t="str">
        <f t="shared" si="1"/>
        <v>Jan</v>
      </c>
      <c r="N78" s="3" t="s">
        <v>32</v>
      </c>
      <c r="O78" s="3" t="s">
        <v>26</v>
      </c>
      <c r="P78" s="3" t="s">
        <v>34</v>
      </c>
      <c r="Q78" s="3">
        <v>2.6</v>
      </c>
    </row>
    <row r="79" spans="1:17" x14ac:dyDescent="0.25">
      <c r="A79" s="2" t="s">
        <v>245</v>
      </c>
      <c r="B79" s="2" t="s">
        <v>142</v>
      </c>
      <c r="C79" s="2" t="s">
        <v>143</v>
      </c>
      <c r="D79" s="2" t="s">
        <v>116</v>
      </c>
      <c r="E79" s="2" t="s">
        <v>73</v>
      </c>
      <c r="F79" s="2" t="s">
        <v>74</v>
      </c>
      <c r="G79" s="2">
        <v>2</v>
      </c>
      <c r="H79" s="2">
        <v>1610</v>
      </c>
      <c r="I79" s="2">
        <v>0</v>
      </c>
      <c r="J79" s="2">
        <v>0</v>
      </c>
      <c r="K79" s="2">
        <v>3220</v>
      </c>
      <c r="L79" s="2" t="s">
        <v>240</v>
      </c>
      <c r="M79" s="2" t="str">
        <f t="shared" si="1"/>
        <v>Oct</v>
      </c>
      <c r="N79" s="2" t="s">
        <v>54</v>
      </c>
      <c r="O79" s="2" t="s">
        <v>26</v>
      </c>
      <c r="P79" s="2" t="s">
        <v>34</v>
      </c>
      <c r="Q79" s="2">
        <v>3.1</v>
      </c>
    </row>
    <row r="80" spans="1:17" x14ac:dyDescent="0.25">
      <c r="A80" s="3" t="s">
        <v>246</v>
      </c>
      <c r="B80" s="3" t="s">
        <v>177</v>
      </c>
      <c r="C80" s="3" t="s">
        <v>178</v>
      </c>
      <c r="D80" s="3" t="s">
        <v>38</v>
      </c>
      <c r="E80" s="3" t="s">
        <v>122</v>
      </c>
      <c r="F80" s="3" t="s">
        <v>74</v>
      </c>
      <c r="G80" s="3">
        <v>5</v>
      </c>
      <c r="H80" s="3">
        <v>1410</v>
      </c>
      <c r="I80" s="3">
        <v>0</v>
      </c>
      <c r="J80" s="3">
        <v>0</v>
      </c>
      <c r="K80" s="3">
        <v>7050</v>
      </c>
      <c r="L80" s="3" t="s">
        <v>188</v>
      </c>
      <c r="M80" s="2" t="str">
        <f t="shared" si="1"/>
        <v>Mar</v>
      </c>
      <c r="N80" s="3" t="s">
        <v>32</v>
      </c>
      <c r="O80" s="3" t="s">
        <v>55</v>
      </c>
      <c r="P80" s="3" t="s">
        <v>34</v>
      </c>
      <c r="Q80" s="3">
        <v>2.6</v>
      </c>
    </row>
    <row r="81" spans="1:17" x14ac:dyDescent="0.25">
      <c r="A81" s="2" t="s">
        <v>247</v>
      </c>
      <c r="B81" s="2" t="s">
        <v>171</v>
      </c>
      <c r="C81" s="2" t="s">
        <v>172</v>
      </c>
      <c r="D81" s="2" t="s">
        <v>60</v>
      </c>
      <c r="E81" s="2" t="s">
        <v>90</v>
      </c>
      <c r="F81" s="2" t="s">
        <v>91</v>
      </c>
      <c r="G81" s="2">
        <v>4</v>
      </c>
      <c r="H81" s="2">
        <v>4590</v>
      </c>
      <c r="I81" s="2">
        <v>5</v>
      </c>
      <c r="J81" s="2">
        <v>918</v>
      </c>
      <c r="K81" s="2">
        <v>17442</v>
      </c>
      <c r="L81" s="2" t="s">
        <v>145</v>
      </c>
      <c r="M81" s="2" t="str">
        <f t="shared" si="1"/>
        <v>Feb</v>
      </c>
      <c r="N81" s="2" t="s">
        <v>32</v>
      </c>
      <c r="O81" s="2" t="s">
        <v>64</v>
      </c>
      <c r="P81" s="2" t="s">
        <v>27</v>
      </c>
      <c r="Q81" s="2"/>
    </row>
    <row r="82" spans="1:17" x14ac:dyDescent="0.25">
      <c r="A82" s="3" t="s">
        <v>248</v>
      </c>
      <c r="B82" s="3" t="s">
        <v>19</v>
      </c>
      <c r="C82" s="3" t="s">
        <v>20</v>
      </c>
      <c r="D82" s="3" t="s">
        <v>21</v>
      </c>
      <c r="E82" s="3" t="s">
        <v>73</v>
      </c>
      <c r="F82" s="3" t="s">
        <v>74</v>
      </c>
      <c r="G82" s="3">
        <v>1</v>
      </c>
      <c r="H82" s="3">
        <v>1990</v>
      </c>
      <c r="I82" s="3">
        <v>10</v>
      </c>
      <c r="J82" s="3">
        <v>199</v>
      </c>
      <c r="K82" s="3">
        <v>1791</v>
      </c>
      <c r="L82" s="3" t="s">
        <v>249</v>
      </c>
      <c r="M82" s="2" t="str">
        <f t="shared" si="1"/>
        <v>Dec</v>
      </c>
      <c r="N82" s="3" t="s">
        <v>54</v>
      </c>
      <c r="O82" s="3" t="s">
        <v>64</v>
      </c>
      <c r="P82" s="3" t="s">
        <v>56</v>
      </c>
      <c r="Q82" s="3"/>
    </row>
    <row r="83" spans="1:17" x14ac:dyDescent="0.25">
      <c r="A83" s="2" t="s">
        <v>250</v>
      </c>
      <c r="B83" s="2" t="s">
        <v>125</v>
      </c>
      <c r="C83" s="2" t="s">
        <v>126</v>
      </c>
      <c r="D83" s="2" t="s">
        <v>38</v>
      </c>
      <c r="E83" s="2" t="s">
        <v>90</v>
      </c>
      <c r="F83" s="2" t="s">
        <v>91</v>
      </c>
      <c r="G83" s="2">
        <v>1</v>
      </c>
      <c r="H83" s="2">
        <v>4390</v>
      </c>
      <c r="I83" s="2">
        <v>15</v>
      </c>
      <c r="J83" s="2">
        <v>658.5</v>
      </c>
      <c r="K83" s="2">
        <v>3731.5</v>
      </c>
      <c r="L83" s="2" t="s">
        <v>251</v>
      </c>
      <c r="M83" s="2" t="str">
        <f t="shared" si="1"/>
        <v>Dec</v>
      </c>
      <c r="N83" s="2" t="s">
        <v>54</v>
      </c>
      <c r="O83" s="2" t="s">
        <v>55</v>
      </c>
      <c r="P83" s="2" t="s">
        <v>34</v>
      </c>
      <c r="Q83" s="2">
        <v>4.0999999999999996</v>
      </c>
    </row>
    <row r="84" spans="1:17" x14ac:dyDescent="0.25">
      <c r="A84" s="3" t="s">
        <v>252</v>
      </c>
      <c r="B84" s="3" t="s">
        <v>36</v>
      </c>
      <c r="C84" s="3" t="s">
        <v>37</v>
      </c>
      <c r="D84" s="3" t="s">
        <v>38</v>
      </c>
      <c r="E84" s="3" t="s">
        <v>144</v>
      </c>
      <c r="F84" s="3" t="s">
        <v>70</v>
      </c>
      <c r="G84" s="3">
        <v>4</v>
      </c>
      <c r="H84" s="3">
        <v>1320</v>
      </c>
      <c r="I84" s="3">
        <v>10</v>
      </c>
      <c r="J84" s="3">
        <v>528</v>
      </c>
      <c r="K84" s="3">
        <v>4752</v>
      </c>
      <c r="L84" s="3" t="s">
        <v>75</v>
      </c>
      <c r="M84" s="2" t="str">
        <f t="shared" si="1"/>
        <v>Nov</v>
      </c>
      <c r="N84" s="3" t="s">
        <v>54</v>
      </c>
      <c r="O84" s="3" t="s">
        <v>93</v>
      </c>
      <c r="P84" s="3" t="s">
        <v>27</v>
      </c>
      <c r="Q84" s="3"/>
    </row>
    <row r="85" spans="1:17" x14ac:dyDescent="0.25">
      <c r="A85" s="2" t="s">
        <v>253</v>
      </c>
      <c r="B85" s="2" t="s">
        <v>83</v>
      </c>
      <c r="C85" s="2" t="s">
        <v>84</v>
      </c>
      <c r="D85" s="2" t="s">
        <v>85</v>
      </c>
      <c r="E85" s="2" t="s">
        <v>122</v>
      </c>
      <c r="F85" s="2" t="s">
        <v>74</v>
      </c>
      <c r="G85" s="2">
        <v>5</v>
      </c>
      <c r="H85" s="2">
        <v>1950</v>
      </c>
      <c r="I85" s="2">
        <v>10</v>
      </c>
      <c r="J85" s="2">
        <v>975</v>
      </c>
      <c r="K85" s="2">
        <v>8775</v>
      </c>
      <c r="L85" s="2" t="s">
        <v>254</v>
      </c>
      <c r="M85" s="2" t="str">
        <f t="shared" si="1"/>
        <v>Nov</v>
      </c>
      <c r="N85" s="2" t="s">
        <v>54</v>
      </c>
      <c r="O85" s="2" t="s">
        <v>64</v>
      </c>
      <c r="P85" s="2" t="s">
        <v>56</v>
      </c>
      <c r="Q85" s="2"/>
    </row>
    <row r="86" spans="1:17" x14ac:dyDescent="0.25">
      <c r="A86" s="3" t="s">
        <v>255</v>
      </c>
      <c r="B86" s="3" t="s">
        <v>98</v>
      </c>
      <c r="C86" s="3" t="s">
        <v>99</v>
      </c>
      <c r="D86" s="3" t="s">
        <v>51</v>
      </c>
      <c r="E86" s="3" t="s">
        <v>144</v>
      </c>
      <c r="F86" s="3" t="s">
        <v>70</v>
      </c>
      <c r="G86" s="3">
        <v>5</v>
      </c>
      <c r="H86" s="3">
        <v>1810</v>
      </c>
      <c r="I86" s="3">
        <v>5</v>
      </c>
      <c r="J86" s="3">
        <v>452.5</v>
      </c>
      <c r="K86" s="3">
        <v>8597.5</v>
      </c>
      <c r="L86" s="3" t="s">
        <v>256</v>
      </c>
      <c r="M86" s="2" t="str">
        <f t="shared" si="1"/>
        <v>Feb</v>
      </c>
      <c r="N86" s="3" t="s">
        <v>32</v>
      </c>
      <c r="O86" s="3" t="s">
        <v>55</v>
      </c>
      <c r="P86" s="3" t="s">
        <v>112</v>
      </c>
      <c r="Q86" s="3"/>
    </row>
    <row r="87" spans="1:17" x14ac:dyDescent="0.25">
      <c r="A87" s="2" t="s">
        <v>257</v>
      </c>
      <c r="B87" s="2" t="s">
        <v>134</v>
      </c>
      <c r="C87" s="2" t="s">
        <v>135</v>
      </c>
      <c r="D87" s="2" t="s">
        <v>68</v>
      </c>
      <c r="E87" s="2" t="s">
        <v>61</v>
      </c>
      <c r="F87" s="2" t="s">
        <v>62</v>
      </c>
      <c r="G87" s="2">
        <v>5</v>
      </c>
      <c r="H87" s="2">
        <v>480</v>
      </c>
      <c r="I87" s="2">
        <v>15</v>
      </c>
      <c r="J87" s="2">
        <v>360</v>
      </c>
      <c r="K87" s="2">
        <v>2040</v>
      </c>
      <c r="L87" s="2" t="s">
        <v>258</v>
      </c>
      <c r="M87" s="2" t="str">
        <f t="shared" si="1"/>
        <v>Jun</v>
      </c>
      <c r="N87" s="2" t="s">
        <v>25</v>
      </c>
      <c r="O87" s="2" t="s">
        <v>33</v>
      </c>
      <c r="P87" s="2" t="s">
        <v>34</v>
      </c>
      <c r="Q87" s="2">
        <v>3.3</v>
      </c>
    </row>
    <row r="88" spans="1:17" x14ac:dyDescent="0.25">
      <c r="A88" s="3" t="s">
        <v>259</v>
      </c>
      <c r="B88" s="3" t="s">
        <v>98</v>
      </c>
      <c r="C88" s="3" t="s">
        <v>99</v>
      </c>
      <c r="D88" s="3" t="s">
        <v>51</v>
      </c>
      <c r="E88" s="3" t="s">
        <v>127</v>
      </c>
      <c r="F88" s="3" t="s">
        <v>74</v>
      </c>
      <c r="G88" s="3">
        <v>3</v>
      </c>
      <c r="H88" s="3">
        <v>2990</v>
      </c>
      <c r="I88" s="3">
        <v>10</v>
      </c>
      <c r="J88" s="3">
        <v>897</v>
      </c>
      <c r="K88" s="3">
        <v>8073</v>
      </c>
      <c r="L88" s="3" t="s">
        <v>260</v>
      </c>
      <c r="M88" s="2" t="str">
        <f t="shared" si="1"/>
        <v>May</v>
      </c>
      <c r="N88" s="3" t="s">
        <v>25</v>
      </c>
      <c r="O88" s="3" t="s">
        <v>64</v>
      </c>
      <c r="P88" s="3" t="s">
        <v>27</v>
      </c>
      <c r="Q88" s="3"/>
    </row>
    <row r="89" spans="1:17" x14ac:dyDescent="0.25">
      <c r="A89" s="2" t="s">
        <v>261</v>
      </c>
      <c r="B89" s="2" t="s">
        <v>171</v>
      </c>
      <c r="C89" s="2" t="s">
        <v>172</v>
      </c>
      <c r="D89" s="2" t="s">
        <v>60</v>
      </c>
      <c r="E89" s="2" t="s">
        <v>29</v>
      </c>
      <c r="F89" s="2" t="s">
        <v>30</v>
      </c>
      <c r="G89" s="2">
        <v>1</v>
      </c>
      <c r="H89" s="2">
        <v>200</v>
      </c>
      <c r="I89" s="2">
        <v>5</v>
      </c>
      <c r="J89" s="2">
        <v>10</v>
      </c>
      <c r="K89" s="2">
        <v>190</v>
      </c>
      <c r="L89" s="2" t="s">
        <v>262</v>
      </c>
      <c r="M89" s="2" t="str">
        <f t="shared" si="1"/>
        <v>Feb</v>
      </c>
      <c r="N89" s="2" t="s">
        <v>32</v>
      </c>
      <c r="O89" s="2" t="s">
        <v>26</v>
      </c>
      <c r="P89" s="2" t="s">
        <v>27</v>
      </c>
      <c r="Q89" s="2"/>
    </row>
    <row r="90" spans="1:17" x14ac:dyDescent="0.25">
      <c r="A90" s="3" t="s">
        <v>263</v>
      </c>
      <c r="B90" s="3" t="s">
        <v>98</v>
      </c>
      <c r="C90" s="3" t="s">
        <v>99</v>
      </c>
      <c r="D90" s="3" t="s">
        <v>51</v>
      </c>
      <c r="E90" s="3" t="s">
        <v>29</v>
      </c>
      <c r="F90" s="3" t="s">
        <v>30</v>
      </c>
      <c r="G90" s="3">
        <v>2</v>
      </c>
      <c r="H90" s="3">
        <v>240</v>
      </c>
      <c r="I90" s="3">
        <v>15</v>
      </c>
      <c r="J90" s="3">
        <v>72</v>
      </c>
      <c r="K90" s="3">
        <v>408</v>
      </c>
      <c r="L90" s="3" t="s">
        <v>264</v>
      </c>
      <c r="M90" s="2" t="str">
        <f t="shared" si="1"/>
        <v>Aug</v>
      </c>
      <c r="N90" s="3" t="s">
        <v>40</v>
      </c>
      <c r="O90" s="3" t="s">
        <v>33</v>
      </c>
      <c r="P90" s="3" t="s">
        <v>34</v>
      </c>
      <c r="Q90" s="3">
        <v>3.1</v>
      </c>
    </row>
    <row r="91" spans="1:17" x14ac:dyDescent="0.25">
      <c r="A91" s="2" t="s">
        <v>265</v>
      </c>
      <c r="B91" s="2" t="s">
        <v>58</v>
      </c>
      <c r="C91" s="2" t="s">
        <v>59</v>
      </c>
      <c r="D91" s="2" t="s">
        <v>60</v>
      </c>
      <c r="E91" s="2" t="s">
        <v>73</v>
      </c>
      <c r="F91" s="2" t="s">
        <v>74</v>
      </c>
      <c r="G91" s="2">
        <v>3</v>
      </c>
      <c r="H91" s="2">
        <v>1930</v>
      </c>
      <c r="I91" s="2">
        <v>10</v>
      </c>
      <c r="J91" s="2">
        <v>579</v>
      </c>
      <c r="K91" s="2">
        <v>5211</v>
      </c>
      <c r="L91" s="2" t="s">
        <v>266</v>
      </c>
      <c r="M91" s="2" t="str">
        <f t="shared" si="1"/>
        <v>Aug</v>
      </c>
      <c r="N91" s="2" t="s">
        <v>40</v>
      </c>
      <c r="O91" s="2" t="s">
        <v>64</v>
      </c>
      <c r="P91" s="2" t="s">
        <v>34</v>
      </c>
      <c r="Q91" s="2">
        <v>3.6</v>
      </c>
    </row>
    <row r="92" spans="1:17" x14ac:dyDescent="0.25">
      <c r="A92" s="3" t="s">
        <v>267</v>
      </c>
      <c r="B92" s="3" t="s">
        <v>58</v>
      </c>
      <c r="C92" s="3" t="s">
        <v>59</v>
      </c>
      <c r="D92" s="3" t="s">
        <v>60</v>
      </c>
      <c r="E92" s="3" t="s">
        <v>29</v>
      </c>
      <c r="F92" s="3" t="s">
        <v>30</v>
      </c>
      <c r="G92" s="3">
        <v>3</v>
      </c>
      <c r="H92" s="3">
        <v>170</v>
      </c>
      <c r="I92" s="3">
        <v>15</v>
      </c>
      <c r="J92" s="3">
        <v>76.5</v>
      </c>
      <c r="K92" s="3">
        <v>433.5</v>
      </c>
      <c r="L92" s="3" t="s">
        <v>268</v>
      </c>
      <c r="M92" s="2" t="str">
        <f t="shared" si="1"/>
        <v>May</v>
      </c>
      <c r="N92" s="3" t="s">
        <v>25</v>
      </c>
      <c r="O92" s="3" t="s">
        <v>55</v>
      </c>
      <c r="P92" s="3" t="s">
        <v>34</v>
      </c>
      <c r="Q92" s="3">
        <v>2.8</v>
      </c>
    </row>
    <row r="93" spans="1:17" x14ac:dyDescent="0.25">
      <c r="A93" s="2" t="s">
        <v>269</v>
      </c>
      <c r="B93" s="2" t="s">
        <v>134</v>
      </c>
      <c r="C93" s="2" t="s">
        <v>135</v>
      </c>
      <c r="D93" s="2" t="s">
        <v>68</v>
      </c>
      <c r="E93" s="2" t="s">
        <v>117</v>
      </c>
      <c r="F93" s="2" t="s">
        <v>78</v>
      </c>
      <c r="G93" s="2">
        <v>1</v>
      </c>
      <c r="H93" s="2">
        <v>1610</v>
      </c>
      <c r="I93" s="2">
        <v>5</v>
      </c>
      <c r="J93" s="2">
        <v>80.5</v>
      </c>
      <c r="K93" s="2">
        <v>1529.5</v>
      </c>
      <c r="L93" s="2" t="s">
        <v>270</v>
      </c>
      <c r="M93" s="2" t="str">
        <f t="shared" si="1"/>
        <v>Apr</v>
      </c>
      <c r="N93" s="2" t="s">
        <v>25</v>
      </c>
      <c r="O93" s="2" t="s">
        <v>26</v>
      </c>
      <c r="P93" s="2" t="s">
        <v>27</v>
      </c>
      <c r="Q93" s="2"/>
    </row>
    <row r="94" spans="1:17" x14ac:dyDescent="0.25">
      <c r="A94" s="3" t="s">
        <v>271</v>
      </c>
      <c r="B94" s="3" t="s">
        <v>171</v>
      </c>
      <c r="C94" s="3" t="s">
        <v>172</v>
      </c>
      <c r="D94" s="3" t="s">
        <v>60</v>
      </c>
      <c r="E94" s="3" t="s">
        <v>90</v>
      </c>
      <c r="F94" s="3" t="s">
        <v>91</v>
      </c>
      <c r="G94" s="3">
        <v>5</v>
      </c>
      <c r="H94" s="3">
        <v>5390</v>
      </c>
      <c r="I94" s="3">
        <v>0</v>
      </c>
      <c r="J94" s="3">
        <v>0</v>
      </c>
      <c r="K94" s="3">
        <v>26950</v>
      </c>
      <c r="L94" s="3" t="s">
        <v>219</v>
      </c>
      <c r="M94" s="2" t="str">
        <f t="shared" si="1"/>
        <v>Apr</v>
      </c>
      <c r="N94" s="3" t="s">
        <v>25</v>
      </c>
      <c r="O94" s="3" t="s">
        <v>55</v>
      </c>
      <c r="P94" s="3" t="s">
        <v>34</v>
      </c>
      <c r="Q94" s="3">
        <v>2.9</v>
      </c>
    </row>
    <row r="95" spans="1:17" x14ac:dyDescent="0.25">
      <c r="A95" s="2" t="s">
        <v>272</v>
      </c>
      <c r="B95" s="2" t="s">
        <v>36</v>
      </c>
      <c r="C95" s="2" t="s">
        <v>37</v>
      </c>
      <c r="D95" s="2" t="s">
        <v>38</v>
      </c>
      <c r="E95" s="2" t="s">
        <v>29</v>
      </c>
      <c r="F95" s="2" t="s">
        <v>30</v>
      </c>
      <c r="G95" s="2">
        <v>2</v>
      </c>
      <c r="H95" s="2">
        <v>150</v>
      </c>
      <c r="I95" s="2">
        <v>0</v>
      </c>
      <c r="J95" s="2">
        <v>0</v>
      </c>
      <c r="K95" s="2">
        <v>300</v>
      </c>
      <c r="L95" s="2" t="s">
        <v>273</v>
      </c>
      <c r="M95" s="2" t="str">
        <f t="shared" si="1"/>
        <v>Oct</v>
      </c>
      <c r="N95" s="2" t="s">
        <v>54</v>
      </c>
      <c r="O95" s="2" t="s">
        <v>55</v>
      </c>
      <c r="P95" s="2" t="s">
        <v>27</v>
      </c>
      <c r="Q95" s="2"/>
    </row>
    <row r="96" spans="1:17" x14ac:dyDescent="0.25">
      <c r="A96" s="3" t="s">
        <v>274</v>
      </c>
      <c r="B96" s="3" t="s">
        <v>142</v>
      </c>
      <c r="C96" s="3" t="s">
        <v>143</v>
      </c>
      <c r="D96" s="3" t="s">
        <v>116</v>
      </c>
      <c r="E96" s="3" t="s">
        <v>227</v>
      </c>
      <c r="F96" s="3" t="s">
        <v>62</v>
      </c>
      <c r="G96" s="3">
        <v>1</v>
      </c>
      <c r="H96" s="3">
        <v>1110</v>
      </c>
      <c r="I96" s="3">
        <v>20</v>
      </c>
      <c r="J96" s="3">
        <v>222</v>
      </c>
      <c r="K96" s="3">
        <v>888</v>
      </c>
      <c r="L96" s="3" t="s">
        <v>169</v>
      </c>
      <c r="M96" s="2" t="str">
        <f t="shared" si="1"/>
        <v>May</v>
      </c>
      <c r="N96" s="3" t="s">
        <v>25</v>
      </c>
      <c r="O96" s="3" t="s">
        <v>93</v>
      </c>
      <c r="P96" s="3" t="s">
        <v>34</v>
      </c>
      <c r="Q96" s="3">
        <v>3.4</v>
      </c>
    </row>
    <row r="97" spans="1:17" x14ac:dyDescent="0.25">
      <c r="A97" s="2" t="s">
        <v>275</v>
      </c>
      <c r="B97" s="2" t="s">
        <v>36</v>
      </c>
      <c r="C97" s="2" t="s">
        <v>37</v>
      </c>
      <c r="D97" s="2" t="s">
        <v>38</v>
      </c>
      <c r="E97" s="2" t="s">
        <v>77</v>
      </c>
      <c r="F97" s="2" t="s">
        <v>78</v>
      </c>
      <c r="G97" s="2">
        <v>4</v>
      </c>
      <c r="H97" s="2">
        <v>2460</v>
      </c>
      <c r="I97" s="2">
        <v>0</v>
      </c>
      <c r="J97" s="2">
        <v>0</v>
      </c>
      <c r="K97" s="2">
        <v>9840</v>
      </c>
      <c r="L97" s="2" t="s">
        <v>276</v>
      </c>
      <c r="M97" s="2" t="str">
        <f t="shared" si="1"/>
        <v>Jul</v>
      </c>
      <c r="N97" s="2" t="s">
        <v>40</v>
      </c>
      <c r="O97" s="2" t="s">
        <v>93</v>
      </c>
      <c r="P97" s="2" t="s">
        <v>34</v>
      </c>
      <c r="Q97" s="2">
        <v>4.0999999999999996</v>
      </c>
    </row>
    <row r="98" spans="1:17" x14ac:dyDescent="0.25">
      <c r="A98" s="3" t="s">
        <v>277</v>
      </c>
      <c r="B98" s="3" t="s">
        <v>36</v>
      </c>
      <c r="C98" s="3" t="s">
        <v>37</v>
      </c>
      <c r="D98" s="3" t="s">
        <v>38</v>
      </c>
      <c r="E98" s="3" t="s">
        <v>95</v>
      </c>
      <c r="F98" s="3" t="s">
        <v>23</v>
      </c>
      <c r="G98" s="3">
        <v>2</v>
      </c>
      <c r="H98" s="3">
        <v>13110</v>
      </c>
      <c r="I98" s="3">
        <v>10</v>
      </c>
      <c r="J98" s="3">
        <v>2622</v>
      </c>
      <c r="K98" s="3">
        <v>23598</v>
      </c>
      <c r="L98" s="3" t="s">
        <v>262</v>
      </c>
      <c r="M98" s="2" t="str">
        <f t="shared" si="1"/>
        <v>Feb</v>
      </c>
      <c r="N98" s="3" t="s">
        <v>32</v>
      </c>
      <c r="O98" s="3" t="s">
        <v>26</v>
      </c>
      <c r="P98" s="3" t="s">
        <v>34</v>
      </c>
      <c r="Q98" s="3">
        <v>4.4000000000000004</v>
      </c>
    </row>
    <row r="99" spans="1:17" x14ac:dyDescent="0.25">
      <c r="A99" s="2" t="s">
        <v>278</v>
      </c>
      <c r="B99" s="2" t="s">
        <v>114</v>
      </c>
      <c r="C99" s="2" t="s">
        <v>115</v>
      </c>
      <c r="D99" s="2" t="s">
        <v>116</v>
      </c>
      <c r="E99" s="2" t="s">
        <v>110</v>
      </c>
      <c r="F99" s="2" t="s">
        <v>91</v>
      </c>
      <c r="G99" s="2">
        <v>5</v>
      </c>
      <c r="H99" s="2">
        <v>6580</v>
      </c>
      <c r="I99" s="2">
        <v>20</v>
      </c>
      <c r="J99" s="2">
        <v>6580</v>
      </c>
      <c r="K99" s="2">
        <v>26320</v>
      </c>
      <c r="L99" s="2" t="s">
        <v>234</v>
      </c>
      <c r="M99" s="2" t="str">
        <f t="shared" si="1"/>
        <v>Jul</v>
      </c>
      <c r="N99" s="2" t="s">
        <v>40</v>
      </c>
      <c r="O99" s="2" t="s">
        <v>93</v>
      </c>
      <c r="P99" s="2" t="s">
        <v>112</v>
      </c>
      <c r="Q99" s="2"/>
    </row>
    <row r="100" spans="1:17" x14ac:dyDescent="0.25">
      <c r="A100" s="3" t="s">
        <v>279</v>
      </c>
      <c r="B100" s="3" t="s">
        <v>171</v>
      </c>
      <c r="C100" s="3" t="s">
        <v>172</v>
      </c>
      <c r="D100" s="3" t="s">
        <v>60</v>
      </c>
      <c r="E100" s="3" t="s">
        <v>90</v>
      </c>
      <c r="F100" s="3" t="s">
        <v>91</v>
      </c>
      <c r="G100" s="3">
        <v>4</v>
      </c>
      <c r="H100" s="3">
        <v>4220</v>
      </c>
      <c r="I100" s="3">
        <v>20</v>
      </c>
      <c r="J100" s="3">
        <v>3376</v>
      </c>
      <c r="K100" s="3">
        <v>13504</v>
      </c>
      <c r="L100" s="3" t="s">
        <v>280</v>
      </c>
      <c r="M100" s="2" t="str">
        <f t="shared" si="1"/>
        <v>Jan</v>
      </c>
      <c r="N100" s="3" t="s">
        <v>32</v>
      </c>
      <c r="O100" s="3" t="s">
        <v>64</v>
      </c>
      <c r="P100" s="3" t="s">
        <v>223</v>
      </c>
      <c r="Q100" s="3"/>
    </row>
    <row r="101" spans="1:17" x14ac:dyDescent="0.25">
      <c r="A101" s="2" t="s">
        <v>281</v>
      </c>
      <c r="B101" s="2" t="s">
        <v>49</v>
      </c>
      <c r="C101" s="2" t="s">
        <v>50</v>
      </c>
      <c r="D101" s="2" t="s">
        <v>51</v>
      </c>
      <c r="E101" s="2" t="s">
        <v>127</v>
      </c>
      <c r="F101" s="2" t="s">
        <v>74</v>
      </c>
      <c r="G101" s="2">
        <v>2</v>
      </c>
      <c r="H101" s="2">
        <v>1660</v>
      </c>
      <c r="I101" s="2">
        <v>0</v>
      </c>
      <c r="J101" s="2">
        <v>0</v>
      </c>
      <c r="K101" s="2">
        <v>3320</v>
      </c>
      <c r="L101" s="2" t="s">
        <v>106</v>
      </c>
      <c r="M101" s="2" t="str">
        <f t="shared" si="1"/>
        <v>Mar</v>
      </c>
      <c r="N101" s="2" t="s">
        <v>32</v>
      </c>
      <c r="O101" s="2" t="s">
        <v>26</v>
      </c>
      <c r="P101" s="2" t="s">
        <v>34</v>
      </c>
      <c r="Q101" s="2">
        <v>2.7</v>
      </c>
    </row>
    <row r="102" spans="1:17" x14ac:dyDescent="0.25">
      <c r="A102" s="3" t="s">
        <v>282</v>
      </c>
      <c r="B102" s="3" t="s">
        <v>36</v>
      </c>
      <c r="C102" s="3" t="s">
        <v>37</v>
      </c>
      <c r="D102" s="3" t="s">
        <v>38</v>
      </c>
      <c r="E102" s="3" t="s">
        <v>144</v>
      </c>
      <c r="F102" s="3" t="s">
        <v>70</v>
      </c>
      <c r="G102" s="3">
        <v>4</v>
      </c>
      <c r="H102" s="3">
        <v>3070</v>
      </c>
      <c r="I102" s="3">
        <v>15</v>
      </c>
      <c r="J102" s="3">
        <v>1842</v>
      </c>
      <c r="K102" s="3">
        <v>10438</v>
      </c>
      <c r="L102" s="3" t="s">
        <v>283</v>
      </c>
      <c r="M102" s="2" t="str">
        <f t="shared" si="1"/>
        <v>May</v>
      </c>
      <c r="N102" s="3" t="s">
        <v>25</v>
      </c>
      <c r="O102" s="3" t="s">
        <v>33</v>
      </c>
      <c r="P102" s="3" t="s">
        <v>34</v>
      </c>
      <c r="Q102" s="3">
        <v>4.3</v>
      </c>
    </row>
    <row r="103" spans="1:17" x14ac:dyDescent="0.25">
      <c r="A103" s="2" t="s">
        <v>284</v>
      </c>
      <c r="B103" s="2" t="s">
        <v>58</v>
      </c>
      <c r="C103" s="2" t="s">
        <v>59</v>
      </c>
      <c r="D103" s="2" t="s">
        <v>60</v>
      </c>
      <c r="E103" s="2" t="s">
        <v>61</v>
      </c>
      <c r="F103" s="2" t="s">
        <v>62</v>
      </c>
      <c r="G103" s="2">
        <v>1</v>
      </c>
      <c r="H103" s="2">
        <v>510</v>
      </c>
      <c r="I103" s="2">
        <v>10</v>
      </c>
      <c r="J103" s="2">
        <v>51</v>
      </c>
      <c r="K103" s="2">
        <v>459</v>
      </c>
      <c r="L103" s="2" t="s">
        <v>285</v>
      </c>
      <c r="M103" s="2" t="str">
        <f t="shared" si="1"/>
        <v>Nov</v>
      </c>
      <c r="N103" s="2" t="s">
        <v>54</v>
      </c>
      <c r="O103" s="2" t="s">
        <v>64</v>
      </c>
      <c r="P103" s="2" t="s">
        <v>27</v>
      </c>
      <c r="Q103" s="2"/>
    </row>
    <row r="104" spans="1:17" x14ac:dyDescent="0.25">
      <c r="A104" s="3" t="s">
        <v>286</v>
      </c>
      <c r="B104" s="3" t="s">
        <v>66</v>
      </c>
      <c r="C104" s="3" t="s">
        <v>67</v>
      </c>
      <c r="D104" s="3" t="s">
        <v>68</v>
      </c>
      <c r="E104" s="3" t="s">
        <v>127</v>
      </c>
      <c r="F104" s="3" t="s">
        <v>74</v>
      </c>
      <c r="G104" s="3">
        <v>4</v>
      </c>
      <c r="H104" s="3">
        <v>1290</v>
      </c>
      <c r="I104" s="3">
        <v>5</v>
      </c>
      <c r="J104" s="3">
        <v>258</v>
      </c>
      <c r="K104" s="3">
        <v>4902</v>
      </c>
      <c r="L104" s="3" t="s">
        <v>287</v>
      </c>
      <c r="M104" s="2" t="str">
        <f t="shared" si="1"/>
        <v>Nov</v>
      </c>
      <c r="N104" s="3" t="s">
        <v>54</v>
      </c>
      <c r="O104" s="3" t="s">
        <v>26</v>
      </c>
      <c r="P104" s="3" t="s">
        <v>112</v>
      </c>
      <c r="Q104" s="3"/>
    </row>
    <row r="105" spans="1:17" x14ac:dyDescent="0.25">
      <c r="A105" s="2" t="s">
        <v>288</v>
      </c>
      <c r="B105" s="2" t="s">
        <v>42</v>
      </c>
      <c r="C105" s="2" t="s">
        <v>43</v>
      </c>
      <c r="D105" s="2" t="s">
        <v>44</v>
      </c>
      <c r="E105" s="2" t="s">
        <v>95</v>
      </c>
      <c r="F105" s="2" t="s">
        <v>23</v>
      </c>
      <c r="G105" s="2">
        <v>1</v>
      </c>
      <c r="H105" s="2">
        <v>5600</v>
      </c>
      <c r="I105" s="2">
        <v>10</v>
      </c>
      <c r="J105" s="2">
        <v>560</v>
      </c>
      <c r="K105" s="2">
        <v>5040</v>
      </c>
      <c r="L105" s="2" t="s">
        <v>289</v>
      </c>
      <c r="M105" s="2" t="str">
        <f t="shared" si="1"/>
        <v>Oct</v>
      </c>
      <c r="N105" s="2" t="s">
        <v>54</v>
      </c>
      <c r="O105" s="2" t="s">
        <v>64</v>
      </c>
      <c r="P105" s="2" t="s">
        <v>112</v>
      </c>
      <c r="Q105" s="2"/>
    </row>
    <row r="106" spans="1:17" x14ac:dyDescent="0.25">
      <c r="A106" s="3" t="s">
        <v>290</v>
      </c>
      <c r="B106" s="3" t="s">
        <v>98</v>
      </c>
      <c r="C106" s="3" t="s">
        <v>99</v>
      </c>
      <c r="D106" s="3" t="s">
        <v>51</v>
      </c>
      <c r="E106" s="3" t="s">
        <v>22</v>
      </c>
      <c r="F106" s="3" t="s">
        <v>23</v>
      </c>
      <c r="G106" s="3">
        <v>4</v>
      </c>
      <c r="H106" s="3">
        <v>6130</v>
      </c>
      <c r="I106" s="3">
        <v>15</v>
      </c>
      <c r="J106" s="3">
        <v>3678</v>
      </c>
      <c r="K106" s="3">
        <v>20842</v>
      </c>
      <c r="L106" s="3" t="s">
        <v>291</v>
      </c>
      <c r="M106" s="2" t="str">
        <f t="shared" si="1"/>
        <v>May</v>
      </c>
      <c r="N106" s="3" t="s">
        <v>25</v>
      </c>
      <c r="O106" s="3" t="s">
        <v>64</v>
      </c>
      <c r="P106" s="3" t="s">
        <v>34</v>
      </c>
      <c r="Q106" s="3">
        <v>3.6</v>
      </c>
    </row>
    <row r="107" spans="1:17" x14ac:dyDescent="0.25">
      <c r="A107" s="2" t="s">
        <v>292</v>
      </c>
      <c r="B107" s="2" t="s">
        <v>114</v>
      </c>
      <c r="C107" s="2" t="s">
        <v>115</v>
      </c>
      <c r="D107" s="2" t="s">
        <v>116</v>
      </c>
      <c r="E107" s="2" t="s">
        <v>156</v>
      </c>
      <c r="F107" s="2" t="s">
        <v>23</v>
      </c>
      <c r="G107" s="2">
        <v>4</v>
      </c>
      <c r="H107" s="2">
        <v>29690</v>
      </c>
      <c r="I107" s="2">
        <v>20</v>
      </c>
      <c r="J107" s="2">
        <v>23752</v>
      </c>
      <c r="K107" s="2">
        <v>95008</v>
      </c>
      <c r="L107" s="2" t="s">
        <v>293</v>
      </c>
      <c r="M107" s="2" t="str">
        <f t="shared" si="1"/>
        <v>May</v>
      </c>
      <c r="N107" s="2" t="s">
        <v>25</v>
      </c>
      <c r="O107" s="2" t="s">
        <v>33</v>
      </c>
      <c r="P107" s="2" t="s">
        <v>34</v>
      </c>
      <c r="Q107" s="2">
        <v>4.9000000000000004</v>
      </c>
    </row>
    <row r="108" spans="1:17" x14ac:dyDescent="0.25">
      <c r="A108" s="3" t="s">
        <v>294</v>
      </c>
      <c r="B108" s="3" t="s">
        <v>42</v>
      </c>
      <c r="C108" s="3" t="s">
        <v>43</v>
      </c>
      <c r="D108" s="3" t="s">
        <v>44</v>
      </c>
      <c r="E108" s="3" t="s">
        <v>90</v>
      </c>
      <c r="F108" s="3" t="s">
        <v>91</v>
      </c>
      <c r="G108" s="3">
        <v>5</v>
      </c>
      <c r="H108" s="3">
        <v>6800</v>
      </c>
      <c r="I108" s="3">
        <v>10</v>
      </c>
      <c r="J108" s="3">
        <v>3400</v>
      </c>
      <c r="K108" s="3">
        <v>30600</v>
      </c>
      <c r="L108" s="3" t="s">
        <v>136</v>
      </c>
      <c r="M108" s="2" t="str">
        <f t="shared" si="1"/>
        <v>Oct</v>
      </c>
      <c r="N108" s="3" t="s">
        <v>54</v>
      </c>
      <c r="O108" s="3" t="s">
        <v>33</v>
      </c>
      <c r="P108" s="3" t="s">
        <v>56</v>
      </c>
      <c r="Q108" s="3"/>
    </row>
    <row r="109" spans="1:17" x14ac:dyDescent="0.25">
      <c r="A109" s="2" t="s">
        <v>295</v>
      </c>
      <c r="B109" s="2" t="s">
        <v>142</v>
      </c>
      <c r="C109" s="2" t="s">
        <v>143</v>
      </c>
      <c r="D109" s="2" t="s">
        <v>116</v>
      </c>
      <c r="E109" s="2" t="s">
        <v>227</v>
      </c>
      <c r="F109" s="2" t="s">
        <v>62</v>
      </c>
      <c r="G109" s="2">
        <v>5</v>
      </c>
      <c r="H109" s="2">
        <v>960</v>
      </c>
      <c r="I109" s="2">
        <v>10</v>
      </c>
      <c r="J109" s="2">
        <v>480</v>
      </c>
      <c r="K109" s="2">
        <v>4320</v>
      </c>
      <c r="L109" s="2" t="s">
        <v>296</v>
      </c>
      <c r="M109" s="2" t="str">
        <f t="shared" si="1"/>
        <v>Apr</v>
      </c>
      <c r="N109" s="2" t="s">
        <v>25</v>
      </c>
      <c r="O109" s="2" t="s">
        <v>64</v>
      </c>
      <c r="P109" s="2" t="s">
        <v>34</v>
      </c>
      <c r="Q109" s="2">
        <v>4.5</v>
      </c>
    </row>
    <row r="110" spans="1:17" x14ac:dyDescent="0.25">
      <c r="A110" s="3" t="s">
        <v>297</v>
      </c>
      <c r="B110" s="3" t="s">
        <v>49</v>
      </c>
      <c r="C110" s="3" t="s">
        <v>50</v>
      </c>
      <c r="D110" s="3" t="s">
        <v>51</v>
      </c>
      <c r="E110" s="3" t="s">
        <v>227</v>
      </c>
      <c r="F110" s="3" t="s">
        <v>62</v>
      </c>
      <c r="G110" s="3">
        <v>3</v>
      </c>
      <c r="H110" s="3">
        <v>790</v>
      </c>
      <c r="I110" s="3">
        <v>10</v>
      </c>
      <c r="J110" s="3">
        <v>237</v>
      </c>
      <c r="K110" s="3">
        <v>2133</v>
      </c>
      <c r="L110" s="3" t="s">
        <v>165</v>
      </c>
      <c r="M110" s="2" t="str">
        <f t="shared" si="1"/>
        <v>Dec</v>
      </c>
      <c r="N110" s="3" t="s">
        <v>54</v>
      </c>
      <c r="O110" s="3" t="s">
        <v>33</v>
      </c>
      <c r="P110" s="3" t="s">
        <v>112</v>
      </c>
      <c r="Q110" s="3"/>
    </row>
    <row r="111" spans="1:17" x14ac:dyDescent="0.25">
      <c r="A111" s="2" t="s">
        <v>298</v>
      </c>
      <c r="B111" s="2" t="s">
        <v>177</v>
      </c>
      <c r="C111" s="2" t="s">
        <v>178</v>
      </c>
      <c r="D111" s="2" t="s">
        <v>38</v>
      </c>
      <c r="E111" s="2" t="s">
        <v>144</v>
      </c>
      <c r="F111" s="2" t="s">
        <v>70</v>
      </c>
      <c r="G111" s="2">
        <v>4</v>
      </c>
      <c r="H111" s="2">
        <v>1860</v>
      </c>
      <c r="I111" s="2">
        <v>15</v>
      </c>
      <c r="J111" s="2">
        <v>1116</v>
      </c>
      <c r="K111" s="2">
        <v>6324</v>
      </c>
      <c r="L111" s="2" t="s">
        <v>299</v>
      </c>
      <c r="M111" s="2" t="str">
        <f t="shared" si="1"/>
        <v>Oct</v>
      </c>
      <c r="N111" s="2" t="s">
        <v>54</v>
      </c>
      <c r="O111" s="2" t="s">
        <v>33</v>
      </c>
      <c r="P111" s="2" t="s">
        <v>34</v>
      </c>
      <c r="Q111" s="2">
        <v>3.3</v>
      </c>
    </row>
    <row r="112" spans="1:17" x14ac:dyDescent="0.25">
      <c r="A112" s="3" t="s">
        <v>300</v>
      </c>
      <c r="B112" s="3" t="s">
        <v>177</v>
      </c>
      <c r="C112" s="3" t="s">
        <v>178</v>
      </c>
      <c r="D112" s="3" t="s">
        <v>38</v>
      </c>
      <c r="E112" s="3" t="s">
        <v>22</v>
      </c>
      <c r="F112" s="3" t="s">
        <v>23</v>
      </c>
      <c r="G112" s="3">
        <v>4</v>
      </c>
      <c r="H112" s="3">
        <v>7190</v>
      </c>
      <c r="I112" s="3">
        <v>0</v>
      </c>
      <c r="J112" s="3">
        <v>0</v>
      </c>
      <c r="K112" s="3">
        <v>28760</v>
      </c>
      <c r="L112" s="3" t="s">
        <v>301</v>
      </c>
      <c r="M112" s="2" t="str">
        <f t="shared" si="1"/>
        <v>Dec</v>
      </c>
      <c r="N112" s="3" t="s">
        <v>54</v>
      </c>
      <c r="O112" s="3" t="s">
        <v>64</v>
      </c>
      <c r="P112" s="3" t="s">
        <v>34</v>
      </c>
      <c r="Q112" s="3">
        <v>2.6</v>
      </c>
    </row>
    <row r="113" spans="1:17" x14ac:dyDescent="0.25">
      <c r="A113" s="2" t="s">
        <v>302</v>
      </c>
      <c r="B113" s="2" t="s">
        <v>103</v>
      </c>
      <c r="C113" s="2" t="s">
        <v>104</v>
      </c>
      <c r="D113" s="2" t="s">
        <v>105</v>
      </c>
      <c r="E113" s="2" t="s">
        <v>69</v>
      </c>
      <c r="F113" s="2" t="s">
        <v>70</v>
      </c>
      <c r="G113" s="2">
        <v>5</v>
      </c>
      <c r="H113" s="2">
        <v>1210</v>
      </c>
      <c r="I113" s="2">
        <v>15</v>
      </c>
      <c r="J113" s="2">
        <v>907.5</v>
      </c>
      <c r="K113" s="2">
        <v>5142.5</v>
      </c>
      <c r="L113" s="2" t="s">
        <v>179</v>
      </c>
      <c r="M113" s="2" t="str">
        <f t="shared" si="1"/>
        <v>Jan</v>
      </c>
      <c r="N113" s="2" t="s">
        <v>32</v>
      </c>
      <c r="O113" s="2" t="s">
        <v>26</v>
      </c>
      <c r="P113" s="2" t="s">
        <v>34</v>
      </c>
      <c r="Q113" s="2">
        <v>2.8</v>
      </c>
    </row>
    <row r="114" spans="1:17" x14ac:dyDescent="0.25">
      <c r="A114" s="3" t="s">
        <v>303</v>
      </c>
      <c r="B114" s="3" t="s">
        <v>171</v>
      </c>
      <c r="C114" s="3" t="s">
        <v>172</v>
      </c>
      <c r="D114" s="3" t="s">
        <v>60</v>
      </c>
      <c r="E114" s="3" t="s">
        <v>61</v>
      </c>
      <c r="F114" s="3" t="s">
        <v>62</v>
      </c>
      <c r="G114" s="3">
        <v>4</v>
      </c>
      <c r="H114" s="3">
        <v>340</v>
      </c>
      <c r="I114" s="3">
        <v>20</v>
      </c>
      <c r="J114" s="3">
        <v>272</v>
      </c>
      <c r="K114" s="3">
        <v>1088</v>
      </c>
      <c r="L114" s="3" t="s">
        <v>304</v>
      </c>
      <c r="M114" s="2" t="str">
        <f t="shared" si="1"/>
        <v>May</v>
      </c>
      <c r="N114" s="3" t="s">
        <v>25</v>
      </c>
      <c r="O114" s="3" t="s">
        <v>26</v>
      </c>
      <c r="P114" s="3" t="s">
        <v>34</v>
      </c>
      <c r="Q114" s="3">
        <v>2.5</v>
      </c>
    </row>
    <row r="115" spans="1:17" x14ac:dyDescent="0.25">
      <c r="A115" s="2" t="s">
        <v>305</v>
      </c>
      <c r="B115" s="2" t="s">
        <v>83</v>
      </c>
      <c r="C115" s="2" t="s">
        <v>84</v>
      </c>
      <c r="D115" s="2" t="s">
        <v>85</v>
      </c>
      <c r="E115" s="2" t="s">
        <v>52</v>
      </c>
      <c r="F115" s="2" t="s">
        <v>23</v>
      </c>
      <c r="G115" s="2">
        <v>2</v>
      </c>
      <c r="H115" s="2">
        <v>39850</v>
      </c>
      <c r="I115" s="2">
        <v>0</v>
      </c>
      <c r="J115" s="2">
        <v>0</v>
      </c>
      <c r="K115" s="2">
        <v>79700</v>
      </c>
      <c r="L115" s="2" t="s">
        <v>306</v>
      </c>
      <c r="M115" s="2" t="str">
        <f t="shared" si="1"/>
        <v>Aug</v>
      </c>
      <c r="N115" s="2" t="s">
        <v>40</v>
      </c>
      <c r="O115" s="2" t="s">
        <v>33</v>
      </c>
      <c r="P115" s="2" t="s">
        <v>27</v>
      </c>
      <c r="Q115" s="2"/>
    </row>
    <row r="116" spans="1:17" x14ac:dyDescent="0.25">
      <c r="A116" s="3" t="s">
        <v>307</v>
      </c>
      <c r="B116" s="3" t="s">
        <v>142</v>
      </c>
      <c r="C116" s="3" t="s">
        <v>143</v>
      </c>
      <c r="D116" s="3" t="s">
        <v>116</v>
      </c>
      <c r="E116" s="3" t="s">
        <v>227</v>
      </c>
      <c r="F116" s="3" t="s">
        <v>62</v>
      </c>
      <c r="G116" s="3">
        <v>3</v>
      </c>
      <c r="H116" s="3">
        <v>860</v>
      </c>
      <c r="I116" s="3">
        <v>10</v>
      </c>
      <c r="J116" s="3">
        <v>258</v>
      </c>
      <c r="K116" s="3">
        <v>2322</v>
      </c>
      <c r="L116" s="3" t="s">
        <v>232</v>
      </c>
      <c r="M116" s="2" t="str">
        <f t="shared" si="1"/>
        <v>Jul</v>
      </c>
      <c r="N116" s="3" t="s">
        <v>40</v>
      </c>
      <c r="O116" s="3" t="s">
        <v>93</v>
      </c>
      <c r="P116" s="3" t="s">
        <v>223</v>
      </c>
      <c r="Q116" s="3"/>
    </row>
    <row r="117" spans="1:17" x14ac:dyDescent="0.25">
      <c r="A117" s="2" t="s">
        <v>308</v>
      </c>
      <c r="B117" s="2" t="s">
        <v>134</v>
      </c>
      <c r="C117" s="2" t="s">
        <v>135</v>
      </c>
      <c r="D117" s="2" t="s">
        <v>68</v>
      </c>
      <c r="E117" s="2" t="s">
        <v>61</v>
      </c>
      <c r="F117" s="2" t="s">
        <v>62</v>
      </c>
      <c r="G117" s="2">
        <v>5</v>
      </c>
      <c r="H117" s="2">
        <v>340</v>
      </c>
      <c r="I117" s="2">
        <v>5</v>
      </c>
      <c r="J117" s="2">
        <v>85</v>
      </c>
      <c r="K117" s="2">
        <v>1615</v>
      </c>
      <c r="L117" s="2" t="s">
        <v>309</v>
      </c>
      <c r="M117" s="2" t="str">
        <f t="shared" si="1"/>
        <v>Nov</v>
      </c>
      <c r="N117" s="2" t="s">
        <v>54</v>
      </c>
      <c r="O117" s="2" t="s">
        <v>64</v>
      </c>
      <c r="P117" s="2" t="s">
        <v>27</v>
      </c>
      <c r="Q117" s="2"/>
    </row>
    <row r="118" spans="1:17" x14ac:dyDescent="0.25">
      <c r="A118" s="3" t="s">
        <v>310</v>
      </c>
      <c r="B118" s="3" t="s">
        <v>142</v>
      </c>
      <c r="C118" s="3" t="s">
        <v>143</v>
      </c>
      <c r="D118" s="3" t="s">
        <v>116</v>
      </c>
      <c r="E118" s="3" t="s">
        <v>52</v>
      </c>
      <c r="F118" s="3" t="s">
        <v>23</v>
      </c>
      <c r="G118" s="3">
        <v>3</v>
      </c>
      <c r="H118" s="3">
        <v>35450</v>
      </c>
      <c r="I118" s="3">
        <v>15</v>
      </c>
      <c r="J118" s="3">
        <v>15952.5</v>
      </c>
      <c r="K118" s="3">
        <v>90397.5</v>
      </c>
      <c r="L118" s="3" t="s">
        <v>311</v>
      </c>
      <c r="M118" s="2" t="str">
        <f t="shared" si="1"/>
        <v>Jun</v>
      </c>
      <c r="N118" s="3" t="s">
        <v>25</v>
      </c>
      <c r="O118" s="3" t="s">
        <v>64</v>
      </c>
      <c r="P118" s="3" t="s">
        <v>34</v>
      </c>
      <c r="Q118" s="3">
        <v>2.5</v>
      </c>
    </row>
    <row r="119" spans="1:17" x14ac:dyDescent="0.25">
      <c r="A119" s="2" t="s">
        <v>312</v>
      </c>
      <c r="B119" s="2" t="s">
        <v>58</v>
      </c>
      <c r="C119" s="2" t="s">
        <v>59</v>
      </c>
      <c r="D119" s="2" t="s">
        <v>60</v>
      </c>
      <c r="E119" s="2" t="s">
        <v>206</v>
      </c>
      <c r="F119" s="2" t="s">
        <v>78</v>
      </c>
      <c r="G119" s="2">
        <v>5</v>
      </c>
      <c r="H119" s="2">
        <v>3530</v>
      </c>
      <c r="I119" s="2">
        <v>15</v>
      </c>
      <c r="J119" s="2">
        <v>2647.5</v>
      </c>
      <c r="K119" s="2">
        <v>15002.5</v>
      </c>
      <c r="L119" s="2" t="s">
        <v>313</v>
      </c>
      <c r="M119" s="2" t="str">
        <f t="shared" si="1"/>
        <v>Mar</v>
      </c>
      <c r="N119" s="2" t="s">
        <v>32</v>
      </c>
      <c r="O119" s="2" t="s">
        <v>93</v>
      </c>
      <c r="P119" s="2" t="s">
        <v>34</v>
      </c>
      <c r="Q119" s="2">
        <v>3.4</v>
      </c>
    </row>
    <row r="120" spans="1:17" x14ac:dyDescent="0.25">
      <c r="A120" s="3" t="s">
        <v>314</v>
      </c>
      <c r="B120" s="3" t="s">
        <v>103</v>
      </c>
      <c r="C120" s="3" t="s">
        <v>104</v>
      </c>
      <c r="D120" s="3" t="s">
        <v>105</v>
      </c>
      <c r="E120" s="3" t="s">
        <v>29</v>
      </c>
      <c r="F120" s="3" t="s">
        <v>30</v>
      </c>
      <c r="G120" s="3">
        <v>4</v>
      </c>
      <c r="H120" s="3">
        <v>190</v>
      </c>
      <c r="I120" s="3">
        <v>10</v>
      </c>
      <c r="J120" s="3">
        <v>76</v>
      </c>
      <c r="K120" s="3">
        <v>684</v>
      </c>
      <c r="L120" s="3" t="s">
        <v>315</v>
      </c>
      <c r="M120" s="2" t="str">
        <f t="shared" si="1"/>
        <v>Apr</v>
      </c>
      <c r="N120" s="3" t="s">
        <v>25</v>
      </c>
      <c r="O120" s="3" t="s">
        <v>26</v>
      </c>
      <c r="P120" s="3" t="s">
        <v>27</v>
      </c>
      <c r="Q120" s="3"/>
    </row>
    <row r="121" spans="1:17" x14ac:dyDescent="0.25">
      <c r="A121" s="2" t="s">
        <v>316</v>
      </c>
      <c r="B121" s="2" t="s">
        <v>134</v>
      </c>
      <c r="C121" s="2" t="s">
        <v>135</v>
      </c>
      <c r="D121" s="2" t="s">
        <v>68</v>
      </c>
      <c r="E121" s="2" t="s">
        <v>144</v>
      </c>
      <c r="F121" s="2" t="s">
        <v>70</v>
      </c>
      <c r="G121" s="2">
        <v>1</v>
      </c>
      <c r="H121" s="2">
        <v>1950</v>
      </c>
      <c r="I121" s="2">
        <v>15</v>
      </c>
      <c r="J121" s="2">
        <v>292.5</v>
      </c>
      <c r="K121" s="2">
        <v>1657.5</v>
      </c>
      <c r="L121" s="2" t="s">
        <v>317</v>
      </c>
      <c r="M121" s="2" t="str">
        <f t="shared" si="1"/>
        <v>Dec</v>
      </c>
      <c r="N121" s="2" t="s">
        <v>54</v>
      </c>
      <c r="O121" s="2" t="s">
        <v>93</v>
      </c>
      <c r="P121" s="2" t="s">
        <v>34</v>
      </c>
      <c r="Q121" s="2">
        <v>4.2</v>
      </c>
    </row>
    <row r="122" spans="1:17" x14ac:dyDescent="0.25">
      <c r="A122" s="3" t="s">
        <v>318</v>
      </c>
      <c r="B122" s="3" t="s">
        <v>42</v>
      </c>
      <c r="C122" s="3" t="s">
        <v>43</v>
      </c>
      <c r="D122" s="3" t="s">
        <v>44</v>
      </c>
      <c r="E122" s="3" t="s">
        <v>95</v>
      </c>
      <c r="F122" s="3" t="s">
        <v>23</v>
      </c>
      <c r="G122" s="3">
        <v>4</v>
      </c>
      <c r="H122" s="3">
        <v>14650</v>
      </c>
      <c r="I122" s="3">
        <v>5</v>
      </c>
      <c r="J122" s="3">
        <v>2930</v>
      </c>
      <c r="K122" s="3">
        <v>55670</v>
      </c>
      <c r="L122" s="3" t="s">
        <v>319</v>
      </c>
      <c r="M122" s="2" t="str">
        <f t="shared" si="1"/>
        <v>Sep</v>
      </c>
      <c r="N122" s="3" t="s">
        <v>40</v>
      </c>
      <c r="O122" s="3" t="s">
        <v>64</v>
      </c>
      <c r="P122" s="3" t="s">
        <v>34</v>
      </c>
      <c r="Q122" s="3">
        <v>2.8</v>
      </c>
    </row>
    <row r="123" spans="1:17" x14ac:dyDescent="0.25">
      <c r="A123" s="2" t="s">
        <v>320</v>
      </c>
      <c r="B123" s="2" t="s">
        <v>42</v>
      </c>
      <c r="C123" s="2" t="s">
        <v>43</v>
      </c>
      <c r="D123" s="2" t="s">
        <v>44</v>
      </c>
      <c r="E123" s="2" t="s">
        <v>61</v>
      </c>
      <c r="F123" s="2" t="s">
        <v>62</v>
      </c>
      <c r="G123" s="2">
        <v>1</v>
      </c>
      <c r="H123" s="2">
        <v>460</v>
      </c>
      <c r="I123" s="2">
        <v>15</v>
      </c>
      <c r="J123" s="2">
        <v>69</v>
      </c>
      <c r="K123" s="2">
        <v>391</v>
      </c>
      <c r="L123" s="2" t="s">
        <v>147</v>
      </c>
      <c r="M123" s="2" t="str">
        <f t="shared" si="1"/>
        <v>Jan</v>
      </c>
      <c r="N123" s="2" t="s">
        <v>32</v>
      </c>
      <c r="O123" s="2" t="s">
        <v>26</v>
      </c>
      <c r="P123" s="2" t="s">
        <v>34</v>
      </c>
      <c r="Q123" s="2">
        <v>4.0999999999999996</v>
      </c>
    </row>
    <row r="124" spans="1:17" x14ac:dyDescent="0.25">
      <c r="A124" s="3" t="s">
        <v>321</v>
      </c>
      <c r="B124" s="3" t="s">
        <v>142</v>
      </c>
      <c r="C124" s="3" t="s">
        <v>143</v>
      </c>
      <c r="D124" s="3" t="s">
        <v>116</v>
      </c>
      <c r="E124" s="3" t="s">
        <v>52</v>
      </c>
      <c r="F124" s="3" t="s">
        <v>23</v>
      </c>
      <c r="G124" s="3">
        <v>4</v>
      </c>
      <c r="H124" s="3">
        <v>35630</v>
      </c>
      <c r="I124" s="3">
        <v>10</v>
      </c>
      <c r="J124" s="3">
        <v>14252</v>
      </c>
      <c r="K124" s="3">
        <v>128268</v>
      </c>
      <c r="L124" s="3" t="s">
        <v>322</v>
      </c>
      <c r="M124" s="2" t="str">
        <f t="shared" si="1"/>
        <v>Jun</v>
      </c>
      <c r="N124" s="3" t="s">
        <v>25</v>
      </c>
      <c r="O124" s="3" t="s">
        <v>64</v>
      </c>
      <c r="P124" s="3" t="s">
        <v>27</v>
      </c>
      <c r="Q124" s="3"/>
    </row>
    <row r="125" spans="1:17" x14ac:dyDescent="0.25">
      <c r="A125" s="2" t="s">
        <v>323</v>
      </c>
      <c r="B125" s="2" t="s">
        <v>19</v>
      </c>
      <c r="C125" s="2" t="s">
        <v>20</v>
      </c>
      <c r="D125" s="2" t="s">
        <v>21</v>
      </c>
      <c r="E125" s="2" t="s">
        <v>52</v>
      </c>
      <c r="F125" s="2" t="s">
        <v>23</v>
      </c>
      <c r="G125" s="2">
        <v>3</v>
      </c>
      <c r="H125" s="2">
        <v>37050</v>
      </c>
      <c r="I125" s="2">
        <v>20</v>
      </c>
      <c r="J125" s="2">
        <v>22230</v>
      </c>
      <c r="K125" s="2">
        <v>88920</v>
      </c>
      <c r="L125" s="2" t="s">
        <v>234</v>
      </c>
      <c r="M125" s="2" t="str">
        <f t="shared" si="1"/>
        <v>Jul</v>
      </c>
      <c r="N125" s="2" t="s">
        <v>40</v>
      </c>
      <c r="O125" s="2" t="s">
        <v>55</v>
      </c>
      <c r="P125" s="2" t="s">
        <v>27</v>
      </c>
      <c r="Q125" s="2"/>
    </row>
    <row r="126" spans="1:17" x14ac:dyDescent="0.25">
      <c r="A126" s="3" t="s">
        <v>324</v>
      </c>
      <c r="B126" s="3" t="s">
        <v>66</v>
      </c>
      <c r="C126" s="3" t="s">
        <v>67</v>
      </c>
      <c r="D126" s="3" t="s">
        <v>68</v>
      </c>
      <c r="E126" s="3" t="s">
        <v>227</v>
      </c>
      <c r="F126" s="3" t="s">
        <v>62</v>
      </c>
      <c r="G126" s="3">
        <v>5</v>
      </c>
      <c r="H126" s="3">
        <v>530</v>
      </c>
      <c r="I126" s="3">
        <v>0</v>
      </c>
      <c r="J126" s="3">
        <v>0</v>
      </c>
      <c r="K126" s="3">
        <v>2650</v>
      </c>
      <c r="L126" s="3" t="s">
        <v>325</v>
      </c>
      <c r="M126" s="2" t="str">
        <f t="shared" si="1"/>
        <v>Apr</v>
      </c>
      <c r="N126" s="3" t="s">
        <v>25</v>
      </c>
      <c r="O126" s="3" t="s">
        <v>55</v>
      </c>
      <c r="P126" s="3" t="s">
        <v>223</v>
      </c>
      <c r="Q126" s="3"/>
    </row>
    <row r="127" spans="1:17" x14ac:dyDescent="0.25">
      <c r="A127" s="2" t="s">
        <v>326</v>
      </c>
      <c r="B127" s="2" t="s">
        <v>58</v>
      </c>
      <c r="C127" s="2" t="s">
        <v>59</v>
      </c>
      <c r="D127" s="2" t="s">
        <v>60</v>
      </c>
      <c r="E127" s="2" t="s">
        <v>52</v>
      </c>
      <c r="F127" s="2" t="s">
        <v>23</v>
      </c>
      <c r="G127" s="2">
        <v>4</v>
      </c>
      <c r="H127" s="2">
        <v>39570</v>
      </c>
      <c r="I127" s="2">
        <v>0</v>
      </c>
      <c r="J127" s="2">
        <v>0</v>
      </c>
      <c r="K127" s="2">
        <v>158280</v>
      </c>
      <c r="L127" s="2" t="s">
        <v>327</v>
      </c>
      <c r="M127" s="2" t="str">
        <f t="shared" si="1"/>
        <v>Aug</v>
      </c>
      <c r="N127" s="2" t="s">
        <v>40</v>
      </c>
      <c r="O127" s="2" t="s">
        <v>26</v>
      </c>
      <c r="P127" s="2" t="s">
        <v>27</v>
      </c>
      <c r="Q127" s="2"/>
    </row>
    <row r="128" spans="1:17" x14ac:dyDescent="0.25">
      <c r="A128" s="3" t="s">
        <v>328</v>
      </c>
      <c r="B128" s="3" t="s">
        <v>66</v>
      </c>
      <c r="C128" s="3" t="s">
        <v>67</v>
      </c>
      <c r="D128" s="3" t="s">
        <v>68</v>
      </c>
      <c r="E128" s="3" t="s">
        <v>45</v>
      </c>
      <c r="F128" s="3" t="s">
        <v>23</v>
      </c>
      <c r="G128" s="3">
        <v>1</v>
      </c>
      <c r="H128" s="3">
        <v>48240</v>
      </c>
      <c r="I128" s="3">
        <v>0</v>
      </c>
      <c r="J128" s="3">
        <v>0</v>
      </c>
      <c r="K128" s="3">
        <v>48240</v>
      </c>
      <c r="L128" s="3" t="s">
        <v>329</v>
      </c>
      <c r="M128" s="2" t="str">
        <f t="shared" si="1"/>
        <v>May</v>
      </c>
      <c r="N128" s="3" t="s">
        <v>25</v>
      </c>
      <c r="O128" s="3" t="s">
        <v>55</v>
      </c>
      <c r="P128" s="3" t="s">
        <v>34</v>
      </c>
      <c r="Q128" s="3">
        <v>2.9</v>
      </c>
    </row>
    <row r="129" spans="1:17" x14ac:dyDescent="0.25">
      <c r="A129" s="2" t="s">
        <v>330</v>
      </c>
      <c r="B129" s="2" t="s">
        <v>103</v>
      </c>
      <c r="C129" s="2" t="s">
        <v>104</v>
      </c>
      <c r="D129" s="2" t="s">
        <v>105</v>
      </c>
      <c r="E129" s="2" t="s">
        <v>144</v>
      </c>
      <c r="F129" s="2" t="s">
        <v>70</v>
      </c>
      <c r="G129" s="2">
        <v>5</v>
      </c>
      <c r="H129" s="2">
        <v>3050</v>
      </c>
      <c r="I129" s="2">
        <v>5</v>
      </c>
      <c r="J129" s="2">
        <v>762.5</v>
      </c>
      <c r="K129" s="2">
        <v>14487.5</v>
      </c>
      <c r="L129" s="2" t="s">
        <v>331</v>
      </c>
      <c r="M129" s="2" t="str">
        <f t="shared" si="1"/>
        <v>Mar</v>
      </c>
      <c r="N129" s="2" t="s">
        <v>32</v>
      </c>
      <c r="O129" s="2" t="s">
        <v>26</v>
      </c>
      <c r="P129" s="2" t="s">
        <v>34</v>
      </c>
      <c r="Q129" s="2">
        <v>4.7</v>
      </c>
    </row>
    <row r="130" spans="1:17" x14ac:dyDescent="0.25">
      <c r="A130" s="3" t="s">
        <v>332</v>
      </c>
      <c r="B130" s="3" t="s">
        <v>114</v>
      </c>
      <c r="C130" s="3" t="s">
        <v>115</v>
      </c>
      <c r="D130" s="3" t="s">
        <v>116</v>
      </c>
      <c r="E130" s="3" t="s">
        <v>73</v>
      </c>
      <c r="F130" s="3" t="s">
        <v>74</v>
      </c>
      <c r="G130" s="3">
        <v>4</v>
      </c>
      <c r="H130" s="3">
        <v>2350</v>
      </c>
      <c r="I130" s="3">
        <v>5</v>
      </c>
      <c r="J130" s="3">
        <v>470</v>
      </c>
      <c r="K130" s="3">
        <v>8930</v>
      </c>
      <c r="L130" s="3" t="s">
        <v>333</v>
      </c>
      <c r="M130" s="2" t="str">
        <f t="shared" si="1"/>
        <v>Apr</v>
      </c>
      <c r="N130" s="3" t="s">
        <v>25</v>
      </c>
      <c r="O130" s="3" t="s">
        <v>93</v>
      </c>
      <c r="P130" s="3" t="s">
        <v>27</v>
      </c>
      <c r="Q130" s="3"/>
    </row>
    <row r="131" spans="1:17" x14ac:dyDescent="0.25">
      <c r="A131" s="2" t="s">
        <v>334</v>
      </c>
      <c r="B131" s="2" t="s">
        <v>98</v>
      </c>
      <c r="C131" s="2" t="s">
        <v>99</v>
      </c>
      <c r="D131" s="2" t="s">
        <v>51</v>
      </c>
      <c r="E131" s="2" t="s">
        <v>77</v>
      </c>
      <c r="F131" s="2" t="s">
        <v>78</v>
      </c>
      <c r="G131" s="2">
        <v>1</v>
      </c>
      <c r="H131" s="2">
        <v>5600</v>
      </c>
      <c r="I131" s="2">
        <v>15</v>
      </c>
      <c r="J131" s="2">
        <v>840</v>
      </c>
      <c r="K131" s="2">
        <v>4760</v>
      </c>
      <c r="L131" s="2" t="s">
        <v>335</v>
      </c>
      <c r="M131" s="2" t="str">
        <f t="shared" si="1"/>
        <v>May</v>
      </c>
      <c r="N131" s="2" t="s">
        <v>25</v>
      </c>
      <c r="O131" s="2" t="s">
        <v>64</v>
      </c>
      <c r="P131" s="2" t="s">
        <v>34</v>
      </c>
      <c r="Q131" s="2">
        <v>3.6</v>
      </c>
    </row>
    <row r="132" spans="1:17" x14ac:dyDescent="0.25">
      <c r="A132" s="3" t="s">
        <v>336</v>
      </c>
      <c r="B132" s="3" t="s">
        <v>177</v>
      </c>
      <c r="C132" s="3" t="s">
        <v>178</v>
      </c>
      <c r="D132" s="3" t="s">
        <v>38</v>
      </c>
      <c r="E132" s="3" t="s">
        <v>90</v>
      </c>
      <c r="F132" s="3" t="s">
        <v>91</v>
      </c>
      <c r="G132" s="3">
        <v>3</v>
      </c>
      <c r="H132" s="3">
        <v>5560</v>
      </c>
      <c r="I132" s="3">
        <v>15</v>
      </c>
      <c r="J132" s="3">
        <v>2502</v>
      </c>
      <c r="K132" s="3">
        <v>14178</v>
      </c>
      <c r="L132" s="3" t="s">
        <v>183</v>
      </c>
      <c r="M132" s="2" t="str">
        <f t="shared" ref="M132:M195" si="2">TEXT(L132,"mmm")</f>
        <v>Dec</v>
      </c>
      <c r="N132" s="3" t="s">
        <v>54</v>
      </c>
      <c r="O132" s="3" t="s">
        <v>55</v>
      </c>
      <c r="P132" s="3" t="s">
        <v>34</v>
      </c>
      <c r="Q132" s="3">
        <v>3.3</v>
      </c>
    </row>
    <row r="133" spans="1:17" x14ac:dyDescent="0.25">
      <c r="A133" s="2" t="s">
        <v>337</v>
      </c>
      <c r="B133" s="2" t="s">
        <v>83</v>
      </c>
      <c r="C133" s="2" t="s">
        <v>84</v>
      </c>
      <c r="D133" s="2" t="s">
        <v>85</v>
      </c>
      <c r="E133" s="2" t="s">
        <v>227</v>
      </c>
      <c r="F133" s="2" t="s">
        <v>62</v>
      </c>
      <c r="G133" s="2">
        <v>1</v>
      </c>
      <c r="H133" s="2">
        <v>670</v>
      </c>
      <c r="I133" s="2">
        <v>20</v>
      </c>
      <c r="J133" s="2">
        <v>134</v>
      </c>
      <c r="K133" s="2">
        <v>536</v>
      </c>
      <c r="L133" s="2" t="s">
        <v>338</v>
      </c>
      <c r="M133" s="2" t="str">
        <f t="shared" si="2"/>
        <v>Jul</v>
      </c>
      <c r="N133" s="2" t="s">
        <v>40</v>
      </c>
      <c r="O133" s="2" t="s">
        <v>64</v>
      </c>
      <c r="P133" s="2" t="s">
        <v>34</v>
      </c>
      <c r="Q133" s="2">
        <v>4.2</v>
      </c>
    </row>
    <row r="134" spans="1:17" x14ac:dyDescent="0.25">
      <c r="A134" s="3" t="s">
        <v>339</v>
      </c>
      <c r="B134" s="3" t="s">
        <v>36</v>
      </c>
      <c r="C134" s="3" t="s">
        <v>37</v>
      </c>
      <c r="D134" s="3" t="s">
        <v>38</v>
      </c>
      <c r="E134" s="3" t="s">
        <v>151</v>
      </c>
      <c r="F134" s="3" t="s">
        <v>70</v>
      </c>
      <c r="G134" s="3">
        <v>3</v>
      </c>
      <c r="H134" s="3">
        <v>200</v>
      </c>
      <c r="I134" s="3">
        <v>0</v>
      </c>
      <c r="J134" s="3">
        <v>0</v>
      </c>
      <c r="K134" s="3">
        <v>600</v>
      </c>
      <c r="L134" s="3" t="s">
        <v>340</v>
      </c>
      <c r="M134" s="2" t="str">
        <f t="shared" si="2"/>
        <v>Nov</v>
      </c>
      <c r="N134" s="3" t="s">
        <v>54</v>
      </c>
      <c r="O134" s="3" t="s">
        <v>93</v>
      </c>
      <c r="P134" s="3" t="s">
        <v>56</v>
      </c>
      <c r="Q134" s="3"/>
    </row>
    <row r="135" spans="1:17" x14ac:dyDescent="0.25">
      <c r="A135" s="2" t="s">
        <v>341</v>
      </c>
      <c r="B135" s="2" t="s">
        <v>66</v>
      </c>
      <c r="C135" s="2" t="s">
        <v>67</v>
      </c>
      <c r="D135" s="2" t="s">
        <v>68</v>
      </c>
      <c r="E135" s="2" t="s">
        <v>206</v>
      </c>
      <c r="F135" s="2" t="s">
        <v>78</v>
      </c>
      <c r="G135" s="2">
        <v>2</v>
      </c>
      <c r="H135" s="2">
        <v>3620</v>
      </c>
      <c r="I135" s="2">
        <v>10</v>
      </c>
      <c r="J135" s="2">
        <v>724</v>
      </c>
      <c r="K135" s="2">
        <v>6516</v>
      </c>
      <c r="L135" s="2" t="s">
        <v>342</v>
      </c>
      <c r="M135" s="2" t="str">
        <f t="shared" si="2"/>
        <v>Apr</v>
      </c>
      <c r="N135" s="2" t="s">
        <v>25</v>
      </c>
      <c r="O135" s="2" t="s">
        <v>26</v>
      </c>
      <c r="P135" s="2" t="s">
        <v>27</v>
      </c>
      <c r="Q135" s="2"/>
    </row>
    <row r="136" spans="1:17" x14ac:dyDescent="0.25">
      <c r="A136" s="3" t="s">
        <v>343</v>
      </c>
      <c r="B136" s="3" t="s">
        <v>19</v>
      </c>
      <c r="C136" s="3" t="s">
        <v>20</v>
      </c>
      <c r="D136" s="3" t="s">
        <v>21</v>
      </c>
      <c r="E136" s="3" t="s">
        <v>95</v>
      </c>
      <c r="F136" s="3" t="s">
        <v>23</v>
      </c>
      <c r="G136" s="3">
        <v>1</v>
      </c>
      <c r="H136" s="3">
        <v>14030</v>
      </c>
      <c r="I136" s="3">
        <v>0</v>
      </c>
      <c r="J136" s="3">
        <v>0</v>
      </c>
      <c r="K136" s="3">
        <v>14030</v>
      </c>
      <c r="L136" s="3" t="s">
        <v>344</v>
      </c>
      <c r="M136" s="2" t="str">
        <f t="shared" si="2"/>
        <v>Jun</v>
      </c>
      <c r="N136" s="3" t="s">
        <v>25</v>
      </c>
      <c r="O136" s="3" t="s">
        <v>93</v>
      </c>
      <c r="P136" s="3" t="s">
        <v>34</v>
      </c>
      <c r="Q136" s="3">
        <v>3.4</v>
      </c>
    </row>
    <row r="137" spans="1:17" x14ac:dyDescent="0.25">
      <c r="A137" s="2" t="s">
        <v>345</v>
      </c>
      <c r="B137" s="2" t="s">
        <v>142</v>
      </c>
      <c r="C137" s="2" t="s">
        <v>143</v>
      </c>
      <c r="D137" s="2" t="s">
        <v>116</v>
      </c>
      <c r="E137" s="2" t="s">
        <v>52</v>
      </c>
      <c r="F137" s="2" t="s">
        <v>23</v>
      </c>
      <c r="G137" s="2">
        <v>3</v>
      </c>
      <c r="H137" s="2">
        <v>26530</v>
      </c>
      <c r="I137" s="2">
        <v>15</v>
      </c>
      <c r="J137" s="2">
        <v>11938.5</v>
      </c>
      <c r="K137" s="2">
        <v>67651.5</v>
      </c>
      <c r="L137" s="2" t="s">
        <v>346</v>
      </c>
      <c r="M137" s="2" t="str">
        <f t="shared" si="2"/>
        <v>Mar</v>
      </c>
      <c r="N137" s="2" t="s">
        <v>32</v>
      </c>
      <c r="O137" s="2" t="s">
        <v>26</v>
      </c>
      <c r="P137" s="2" t="s">
        <v>34</v>
      </c>
      <c r="Q137" s="2">
        <v>3.8</v>
      </c>
    </row>
    <row r="138" spans="1:17" x14ac:dyDescent="0.25">
      <c r="A138" s="3" t="s">
        <v>347</v>
      </c>
      <c r="B138" s="3" t="s">
        <v>177</v>
      </c>
      <c r="C138" s="3" t="s">
        <v>178</v>
      </c>
      <c r="D138" s="3" t="s">
        <v>38</v>
      </c>
      <c r="E138" s="3" t="s">
        <v>100</v>
      </c>
      <c r="F138" s="3" t="s">
        <v>30</v>
      </c>
      <c r="G138" s="3">
        <v>5</v>
      </c>
      <c r="H138" s="3">
        <v>380</v>
      </c>
      <c r="I138" s="3">
        <v>5</v>
      </c>
      <c r="J138" s="3">
        <v>95</v>
      </c>
      <c r="K138" s="3">
        <v>1805</v>
      </c>
      <c r="L138" s="3" t="s">
        <v>348</v>
      </c>
      <c r="M138" s="2" t="str">
        <f t="shared" si="2"/>
        <v>May</v>
      </c>
      <c r="N138" s="3" t="s">
        <v>25</v>
      </c>
      <c r="O138" s="3" t="s">
        <v>93</v>
      </c>
      <c r="P138" s="3" t="s">
        <v>223</v>
      </c>
      <c r="Q138" s="3"/>
    </row>
    <row r="139" spans="1:17" x14ac:dyDescent="0.25">
      <c r="A139" s="2" t="s">
        <v>349</v>
      </c>
      <c r="B139" s="2" t="s">
        <v>171</v>
      </c>
      <c r="C139" s="2" t="s">
        <v>172</v>
      </c>
      <c r="D139" s="2" t="s">
        <v>60</v>
      </c>
      <c r="E139" s="2" t="s">
        <v>117</v>
      </c>
      <c r="F139" s="2" t="s">
        <v>78</v>
      </c>
      <c r="G139" s="2">
        <v>1</v>
      </c>
      <c r="H139" s="2">
        <v>1200</v>
      </c>
      <c r="I139" s="2">
        <v>0</v>
      </c>
      <c r="J139" s="2">
        <v>0</v>
      </c>
      <c r="K139" s="2">
        <v>1200</v>
      </c>
      <c r="L139" s="2" t="s">
        <v>350</v>
      </c>
      <c r="M139" s="2" t="str">
        <f t="shared" si="2"/>
        <v>Mar</v>
      </c>
      <c r="N139" s="2" t="s">
        <v>32</v>
      </c>
      <c r="O139" s="2" t="s">
        <v>26</v>
      </c>
      <c r="P139" s="2" t="s">
        <v>112</v>
      </c>
      <c r="Q139" s="2"/>
    </row>
    <row r="140" spans="1:17" x14ac:dyDescent="0.25">
      <c r="A140" s="3" t="s">
        <v>351</v>
      </c>
      <c r="B140" s="3" t="s">
        <v>58</v>
      </c>
      <c r="C140" s="3" t="s">
        <v>59</v>
      </c>
      <c r="D140" s="3" t="s">
        <v>60</v>
      </c>
      <c r="E140" s="3" t="s">
        <v>151</v>
      </c>
      <c r="F140" s="3" t="s">
        <v>70</v>
      </c>
      <c r="G140" s="3">
        <v>5</v>
      </c>
      <c r="H140" s="3">
        <v>420</v>
      </c>
      <c r="I140" s="3">
        <v>15</v>
      </c>
      <c r="J140" s="3">
        <v>315</v>
      </c>
      <c r="K140" s="3">
        <v>1785</v>
      </c>
      <c r="L140" s="3" t="s">
        <v>147</v>
      </c>
      <c r="M140" s="2" t="str">
        <f t="shared" si="2"/>
        <v>Jan</v>
      </c>
      <c r="N140" s="3" t="s">
        <v>32</v>
      </c>
      <c r="O140" s="3" t="s">
        <v>55</v>
      </c>
      <c r="P140" s="3" t="s">
        <v>34</v>
      </c>
      <c r="Q140" s="3">
        <v>3.6</v>
      </c>
    </row>
    <row r="141" spans="1:17" x14ac:dyDescent="0.25">
      <c r="A141" s="2" t="s">
        <v>352</v>
      </c>
      <c r="B141" s="2" t="s">
        <v>19</v>
      </c>
      <c r="C141" s="2" t="s">
        <v>20</v>
      </c>
      <c r="D141" s="2" t="s">
        <v>21</v>
      </c>
      <c r="E141" s="2" t="s">
        <v>77</v>
      </c>
      <c r="F141" s="2" t="s">
        <v>78</v>
      </c>
      <c r="G141" s="2">
        <v>5</v>
      </c>
      <c r="H141" s="2">
        <v>3520</v>
      </c>
      <c r="I141" s="2">
        <v>10</v>
      </c>
      <c r="J141" s="2">
        <v>1760</v>
      </c>
      <c r="K141" s="2">
        <v>15840</v>
      </c>
      <c r="L141" s="2" t="s">
        <v>140</v>
      </c>
      <c r="M141" s="2" t="str">
        <f t="shared" si="2"/>
        <v>Feb</v>
      </c>
      <c r="N141" s="2" t="s">
        <v>32</v>
      </c>
      <c r="O141" s="2" t="s">
        <v>26</v>
      </c>
      <c r="P141" s="2" t="s">
        <v>34</v>
      </c>
      <c r="Q141" s="2">
        <v>4</v>
      </c>
    </row>
    <row r="142" spans="1:17" x14ac:dyDescent="0.25">
      <c r="A142" s="3" t="s">
        <v>353</v>
      </c>
      <c r="B142" s="3" t="s">
        <v>103</v>
      </c>
      <c r="C142" s="3" t="s">
        <v>104</v>
      </c>
      <c r="D142" s="3" t="s">
        <v>105</v>
      </c>
      <c r="E142" s="3" t="s">
        <v>117</v>
      </c>
      <c r="F142" s="3" t="s">
        <v>78</v>
      </c>
      <c r="G142" s="3">
        <v>5</v>
      </c>
      <c r="H142" s="3">
        <v>830</v>
      </c>
      <c r="I142" s="3">
        <v>0</v>
      </c>
      <c r="J142" s="3">
        <v>0</v>
      </c>
      <c r="K142" s="3">
        <v>4150</v>
      </c>
      <c r="L142" s="3" t="s">
        <v>75</v>
      </c>
      <c r="M142" s="2" t="str">
        <f t="shared" si="2"/>
        <v>Nov</v>
      </c>
      <c r="N142" s="3" t="s">
        <v>54</v>
      </c>
      <c r="O142" s="3" t="s">
        <v>93</v>
      </c>
      <c r="P142" s="3" t="s">
        <v>112</v>
      </c>
      <c r="Q142" s="3"/>
    </row>
    <row r="143" spans="1:17" x14ac:dyDescent="0.25">
      <c r="A143" s="2" t="s">
        <v>354</v>
      </c>
      <c r="B143" s="2" t="s">
        <v>171</v>
      </c>
      <c r="C143" s="2" t="s">
        <v>172</v>
      </c>
      <c r="D143" s="2" t="s">
        <v>60</v>
      </c>
      <c r="E143" s="2" t="s">
        <v>144</v>
      </c>
      <c r="F143" s="2" t="s">
        <v>70</v>
      </c>
      <c r="G143" s="2">
        <v>1</v>
      </c>
      <c r="H143" s="2">
        <v>1420</v>
      </c>
      <c r="I143" s="2">
        <v>0</v>
      </c>
      <c r="J143" s="2">
        <v>0</v>
      </c>
      <c r="K143" s="2">
        <v>1420</v>
      </c>
      <c r="L143" s="2" t="s">
        <v>355</v>
      </c>
      <c r="M143" s="2" t="str">
        <f t="shared" si="2"/>
        <v>Jun</v>
      </c>
      <c r="N143" s="2" t="s">
        <v>25</v>
      </c>
      <c r="O143" s="2" t="s">
        <v>93</v>
      </c>
      <c r="P143" s="2" t="s">
        <v>34</v>
      </c>
      <c r="Q143" s="2">
        <v>3.1</v>
      </c>
    </row>
    <row r="144" spans="1:17" x14ac:dyDescent="0.25">
      <c r="A144" s="3" t="s">
        <v>356</v>
      </c>
      <c r="B144" s="3" t="s">
        <v>103</v>
      </c>
      <c r="C144" s="3" t="s">
        <v>104</v>
      </c>
      <c r="D144" s="3" t="s">
        <v>105</v>
      </c>
      <c r="E144" s="3" t="s">
        <v>95</v>
      </c>
      <c r="F144" s="3" t="s">
        <v>23</v>
      </c>
      <c r="G144" s="3">
        <v>4</v>
      </c>
      <c r="H144" s="3">
        <v>9540</v>
      </c>
      <c r="I144" s="3">
        <v>20</v>
      </c>
      <c r="J144" s="3">
        <v>7632</v>
      </c>
      <c r="K144" s="3">
        <v>30528</v>
      </c>
      <c r="L144" s="3" t="s">
        <v>39</v>
      </c>
      <c r="M144" s="2" t="str">
        <f t="shared" si="2"/>
        <v>Aug</v>
      </c>
      <c r="N144" s="3" t="s">
        <v>40</v>
      </c>
      <c r="O144" s="3" t="s">
        <v>64</v>
      </c>
      <c r="P144" s="3" t="s">
        <v>27</v>
      </c>
      <c r="Q144" s="3"/>
    </row>
    <row r="145" spans="1:17" x14ac:dyDescent="0.25">
      <c r="A145" s="2" t="s">
        <v>357</v>
      </c>
      <c r="B145" s="2" t="s">
        <v>142</v>
      </c>
      <c r="C145" s="2" t="s">
        <v>143</v>
      </c>
      <c r="D145" s="2" t="s">
        <v>116</v>
      </c>
      <c r="E145" s="2" t="s">
        <v>144</v>
      </c>
      <c r="F145" s="2" t="s">
        <v>70</v>
      </c>
      <c r="G145" s="2">
        <v>1</v>
      </c>
      <c r="H145" s="2">
        <v>3500</v>
      </c>
      <c r="I145" s="2">
        <v>20</v>
      </c>
      <c r="J145" s="2">
        <v>700</v>
      </c>
      <c r="K145" s="2">
        <v>2800</v>
      </c>
      <c r="L145" s="2" t="s">
        <v>358</v>
      </c>
      <c r="M145" s="2" t="str">
        <f t="shared" si="2"/>
        <v>Jul</v>
      </c>
      <c r="N145" s="2" t="s">
        <v>40</v>
      </c>
      <c r="O145" s="2" t="s">
        <v>55</v>
      </c>
      <c r="P145" s="2" t="s">
        <v>34</v>
      </c>
      <c r="Q145" s="2">
        <v>3.4</v>
      </c>
    </row>
    <row r="146" spans="1:17" x14ac:dyDescent="0.25">
      <c r="A146" s="3" t="s">
        <v>359</v>
      </c>
      <c r="B146" s="3" t="s">
        <v>98</v>
      </c>
      <c r="C146" s="3" t="s">
        <v>99</v>
      </c>
      <c r="D146" s="3" t="s">
        <v>51</v>
      </c>
      <c r="E146" s="3" t="s">
        <v>61</v>
      </c>
      <c r="F146" s="3" t="s">
        <v>62</v>
      </c>
      <c r="G146" s="3">
        <v>2</v>
      </c>
      <c r="H146" s="3">
        <v>560</v>
      </c>
      <c r="I146" s="3">
        <v>0</v>
      </c>
      <c r="J146" s="3">
        <v>0</v>
      </c>
      <c r="K146" s="3">
        <v>1120</v>
      </c>
      <c r="L146" s="3" t="s">
        <v>360</v>
      </c>
      <c r="M146" s="2" t="str">
        <f t="shared" si="2"/>
        <v>Dec</v>
      </c>
      <c r="N146" s="3" t="s">
        <v>54</v>
      </c>
      <c r="O146" s="3" t="s">
        <v>55</v>
      </c>
      <c r="P146" s="3" t="s">
        <v>34</v>
      </c>
      <c r="Q146" s="3">
        <v>4.9000000000000004</v>
      </c>
    </row>
    <row r="147" spans="1:17" x14ac:dyDescent="0.25">
      <c r="A147" s="2" t="s">
        <v>361</v>
      </c>
      <c r="B147" s="2" t="s">
        <v>177</v>
      </c>
      <c r="C147" s="2" t="s">
        <v>178</v>
      </c>
      <c r="D147" s="2" t="s">
        <v>38</v>
      </c>
      <c r="E147" s="2" t="s">
        <v>156</v>
      </c>
      <c r="F147" s="2" t="s">
        <v>23</v>
      </c>
      <c r="G147" s="2">
        <v>4</v>
      </c>
      <c r="H147" s="2">
        <v>20520</v>
      </c>
      <c r="I147" s="2">
        <v>0</v>
      </c>
      <c r="J147" s="2">
        <v>0</v>
      </c>
      <c r="K147" s="2">
        <v>82080</v>
      </c>
      <c r="L147" s="2" t="s">
        <v>152</v>
      </c>
      <c r="M147" s="2" t="str">
        <f t="shared" si="2"/>
        <v>Aug</v>
      </c>
      <c r="N147" s="2" t="s">
        <v>40</v>
      </c>
      <c r="O147" s="2" t="s">
        <v>33</v>
      </c>
      <c r="P147" s="2" t="s">
        <v>27</v>
      </c>
      <c r="Q147" s="2"/>
    </row>
    <row r="148" spans="1:17" x14ac:dyDescent="0.25">
      <c r="A148" s="3" t="s">
        <v>362</v>
      </c>
      <c r="B148" s="3" t="s">
        <v>19</v>
      </c>
      <c r="C148" s="3" t="s">
        <v>20</v>
      </c>
      <c r="D148" s="3" t="s">
        <v>21</v>
      </c>
      <c r="E148" s="3" t="s">
        <v>110</v>
      </c>
      <c r="F148" s="3" t="s">
        <v>91</v>
      </c>
      <c r="G148" s="3">
        <v>1</v>
      </c>
      <c r="H148" s="3">
        <v>5350</v>
      </c>
      <c r="I148" s="3">
        <v>10</v>
      </c>
      <c r="J148" s="3">
        <v>535</v>
      </c>
      <c r="K148" s="3">
        <v>4815</v>
      </c>
      <c r="L148" s="3" t="s">
        <v>363</v>
      </c>
      <c r="M148" s="2" t="str">
        <f t="shared" si="2"/>
        <v>May</v>
      </c>
      <c r="N148" s="3" t="s">
        <v>25</v>
      </c>
      <c r="O148" s="3" t="s">
        <v>26</v>
      </c>
      <c r="P148" s="3" t="s">
        <v>56</v>
      </c>
      <c r="Q148" s="3"/>
    </row>
    <row r="149" spans="1:17" x14ac:dyDescent="0.25">
      <c r="A149" s="2" t="s">
        <v>364</v>
      </c>
      <c r="B149" s="2" t="s">
        <v>134</v>
      </c>
      <c r="C149" s="2" t="s">
        <v>135</v>
      </c>
      <c r="D149" s="2" t="s">
        <v>68</v>
      </c>
      <c r="E149" s="2" t="s">
        <v>52</v>
      </c>
      <c r="F149" s="2" t="s">
        <v>23</v>
      </c>
      <c r="G149" s="2">
        <v>5</v>
      </c>
      <c r="H149" s="2">
        <v>24140</v>
      </c>
      <c r="I149" s="2">
        <v>5</v>
      </c>
      <c r="J149" s="2">
        <v>6035</v>
      </c>
      <c r="K149" s="2">
        <v>114665</v>
      </c>
      <c r="L149" s="2" t="s">
        <v>365</v>
      </c>
      <c r="M149" s="2" t="str">
        <f t="shared" si="2"/>
        <v>Apr</v>
      </c>
      <c r="N149" s="2" t="s">
        <v>25</v>
      </c>
      <c r="O149" s="2" t="s">
        <v>55</v>
      </c>
      <c r="P149" s="2" t="s">
        <v>56</v>
      </c>
      <c r="Q149" s="2"/>
    </row>
    <row r="150" spans="1:17" x14ac:dyDescent="0.25">
      <c r="A150" s="3" t="s">
        <v>366</v>
      </c>
      <c r="B150" s="3" t="s">
        <v>125</v>
      </c>
      <c r="C150" s="3" t="s">
        <v>126</v>
      </c>
      <c r="D150" s="3" t="s">
        <v>38</v>
      </c>
      <c r="E150" s="3" t="s">
        <v>110</v>
      </c>
      <c r="F150" s="3" t="s">
        <v>91</v>
      </c>
      <c r="G150" s="3">
        <v>1</v>
      </c>
      <c r="H150" s="3">
        <v>6940</v>
      </c>
      <c r="I150" s="3">
        <v>5</v>
      </c>
      <c r="J150" s="3">
        <v>347</v>
      </c>
      <c r="K150" s="3">
        <v>6593</v>
      </c>
      <c r="L150" s="3" t="s">
        <v>367</v>
      </c>
      <c r="M150" s="2" t="str">
        <f t="shared" si="2"/>
        <v>Mar</v>
      </c>
      <c r="N150" s="3" t="s">
        <v>32</v>
      </c>
      <c r="O150" s="3" t="s">
        <v>64</v>
      </c>
      <c r="P150" s="3" t="s">
        <v>34</v>
      </c>
      <c r="Q150" s="3">
        <v>2.9</v>
      </c>
    </row>
    <row r="151" spans="1:17" x14ac:dyDescent="0.25">
      <c r="A151" s="2" t="s">
        <v>368</v>
      </c>
      <c r="B151" s="2" t="s">
        <v>19</v>
      </c>
      <c r="C151" s="2" t="s">
        <v>20</v>
      </c>
      <c r="D151" s="2" t="s">
        <v>21</v>
      </c>
      <c r="E151" s="2" t="s">
        <v>45</v>
      </c>
      <c r="F151" s="2" t="s">
        <v>23</v>
      </c>
      <c r="G151" s="2">
        <v>2</v>
      </c>
      <c r="H151" s="2">
        <v>45150</v>
      </c>
      <c r="I151" s="2">
        <v>5</v>
      </c>
      <c r="J151" s="2">
        <v>4515</v>
      </c>
      <c r="K151" s="2">
        <v>85785</v>
      </c>
      <c r="L151" s="2" t="s">
        <v>130</v>
      </c>
      <c r="M151" s="2" t="str">
        <f t="shared" si="2"/>
        <v>Oct</v>
      </c>
      <c r="N151" s="2" t="s">
        <v>54</v>
      </c>
      <c r="O151" s="2" t="s">
        <v>55</v>
      </c>
      <c r="P151" s="2" t="s">
        <v>34</v>
      </c>
      <c r="Q151" s="2">
        <v>3.2</v>
      </c>
    </row>
    <row r="152" spans="1:17" x14ac:dyDescent="0.25">
      <c r="A152" s="3" t="s">
        <v>369</v>
      </c>
      <c r="B152" s="3" t="s">
        <v>142</v>
      </c>
      <c r="C152" s="3" t="s">
        <v>143</v>
      </c>
      <c r="D152" s="3" t="s">
        <v>116</v>
      </c>
      <c r="E152" s="3" t="s">
        <v>144</v>
      </c>
      <c r="F152" s="3" t="s">
        <v>70</v>
      </c>
      <c r="G152" s="3">
        <v>5</v>
      </c>
      <c r="H152" s="3">
        <v>1340</v>
      </c>
      <c r="I152" s="3">
        <v>0</v>
      </c>
      <c r="J152" s="3">
        <v>0</v>
      </c>
      <c r="K152" s="3">
        <v>6700</v>
      </c>
      <c r="L152" s="3" t="s">
        <v>370</v>
      </c>
      <c r="M152" s="2" t="str">
        <f t="shared" si="2"/>
        <v>Aug</v>
      </c>
      <c r="N152" s="3" t="s">
        <v>40</v>
      </c>
      <c r="O152" s="3" t="s">
        <v>93</v>
      </c>
      <c r="P152" s="3" t="s">
        <v>56</v>
      </c>
      <c r="Q152" s="3"/>
    </row>
    <row r="153" spans="1:17" x14ac:dyDescent="0.25">
      <c r="A153" s="2" t="s">
        <v>371</v>
      </c>
      <c r="B153" s="2" t="s">
        <v>103</v>
      </c>
      <c r="C153" s="2" t="s">
        <v>104</v>
      </c>
      <c r="D153" s="2" t="s">
        <v>105</v>
      </c>
      <c r="E153" s="2" t="s">
        <v>90</v>
      </c>
      <c r="F153" s="2" t="s">
        <v>91</v>
      </c>
      <c r="G153" s="2">
        <v>1</v>
      </c>
      <c r="H153" s="2">
        <v>4810</v>
      </c>
      <c r="I153" s="2">
        <v>5</v>
      </c>
      <c r="J153" s="2">
        <v>240.5</v>
      </c>
      <c r="K153" s="2">
        <v>4569.5</v>
      </c>
      <c r="L153" s="2" t="s">
        <v>372</v>
      </c>
      <c r="M153" s="2" t="str">
        <f t="shared" si="2"/>
        <v>Nov</v>
      </c>
      <c r="N153" s="2" t="s">
        <v>54</v>
      </c>
      <c r="O153" s="2" t="s">
        <v>33</v>
      </c>
      <c r="P153" s="2" t="s">
        <v>27</v>
      </c>
      <c r="Q153" s="2"/>
    </row>
    <row r="154" spans="1:17" x14ac:dyDescent="0.25">
      <c r="A154" s="3" t="s">
        <v>373</v>
      </c>
      <c r="B154" s="3" t="s">
        <v>66</v>
      </c>
      <c r="C154" s="3" t="s">
        <v>67</v>
      </c>
      <c r="D154" s="3" t="s">
        <v>68</v>
      </c>
      <c r="E154" s="3" t="s">
        <v>100</v>
      </c>
      <c r="F154" s="3" t="s">
        <v>30</v>
      </c>
      <c r="G154" s="3">
        <v>3</v>
      </c>
      <c r="H154" s="3">
        <v>260</v>
      </c>
      <c r="I154" s="3">
        <v>0</v>
      </c>
      <c r="J154" s="3">
        <v>0</v>
      </c>
      <c r="K154" s="3">
        <v>780</v>
      </c>
      <c r="L154" s="3" t="s">
        <v>374</v>
      </c>
      <c r="M154" s="2" t="str">
        <f t="shared" si="2"/>
        <v>Feb</v>
      </c>
      <c r="N154" s="3" t="s">
        <v>32</v>
      </c>
      <c r="O154" s="3" t="s">
        <v>93</v>
      </c>
      <c r="P154" s="3" t="s">
        <v>56</v>
      </c>
      <c r="Q154" s="3"/>
    </row>
    <row r="155" spans="1:17" x14ac:dyDescent="0.25">
      <c r="A155" s="2" t="s">
        <v>375</v>
      </c>
      <c r="B155" s="2" t="s">
        <v>83</v>
      </c>
      <c r="C155" s="2" t="s">
        <v>84</v>
      </c>
      <c r="D155" s="2" t="s">
        <v>85</v>
      </c>
      <c r="E155" s="2" t="s">
        <v>22</v>
      </c>
      <c r="F155" s="2" t="s">
        <v>23</v>
      </c>
      <c r="G155" s="2">
        <v>4</v>
      </c>
      <c r="H155" s="2">
        <v>6270</v>
      </c>
      <c r="I155" s="2">
        <v>15</v>
      </c>
      <c r="J155" s="2">
        <v>3762</v>
      </c>
      <c r="K155" s="2">
        <v>21318</v>
      </c>
      <c r="L155" s="2" t="s">
        <v>376</v>
      </c>
      <c r="M155" s="2" t="str">
        <f t="shared" si="2"/>
        <v>Feb</v>
      </c>
      <c r="N155" s="2" t="s">
        <v>32</v>
      </c>
      <c r="O155" s="2" t="s">
        <v>33</v>
      </c>
      <c r="P155" s="2" t="s">
        <v>34</v>
      </c>
      <c r="Q155" s="2">
        <v>2.9</v>
      </c>
    </row>
    <row r="156" spans="1:17" x14ac:dyDescent="0.25">
      <c r="A156" s="3" t="s">
        <v>377</v>
      </c>
      <c r="B156" s="3" t="s">
        <v>142</v>
      </c>
      <c r="C156" s="3" t="s">
        <v>143</v>
      </c>
      <c r="D156" s="3" t="s">
        <v>116</v>
      </c>
      <c r="E156" s="3" t="s">
        <v>77</v>
      </c>
      <c r="F156" s="3" t="s">
        <v>78</v>
      </c>
      <c r="G156" s="3">
        <v>5</v>
      </c>
      <c r="H156" s="3">
        <v>4530</v>
      </c>
      <c r="I156" s="3">
        <v>20</v>
      </c>
      <c r="J156" s="3">
        <v>4530</v>
      </c>
      <c r="K156" s="3">
        <v>18120</v>
      </c>
      <c r="L156" s="3" t="s">
        <v>378</v>
      </c>
      <c r="M156" s="2" t="str">
        <f t="shared" si="2"/>
        <v>Dec</v>
      </c>
      <c r="N156" s="3" t="s">
        <v>54</v>
      </c>
      <c r="O156" s="3" t="s">
        <v>55</v>
      </c>
      <c r="P156" s="3" t="s">
        <v>34</v>
      </c>
      <c r="Q156" s="3">
        <v>4</v>
      </c>
    </row>
    <row r="157" spans="1:17" x14ac:dyDescent="0.25">
      <c r="A157" s="2" t="s">
        <v>379</v>
      </c>
      <c r="B157" s="2" t="s">
        <v>171</v>
      </c>
      <c r="C157" s="2" t="s">
        <v>172</v>
      </c>
      <c r="D157" s="2" t="s">
        <v>60</v>
      </c>
      <c r="E157" s="2" t="s">
        <v>61</v>
      </c>
      <c r="F157" s="2" t="s">
        <v>62</v>
      </c>
      <c r="G157" s="2">
        <v>5</v>
      </c>
      <c r="H157" s="2">
        <v>480</v>
      </c>
      <c r="I157" s="2">
        <v>0</v>
      </c>
      <c r="J157" s="2">
        <v>0</v>
      </c>
      <c r="K157" s="2">
        <v>2400</v>
      </c>
      <c r="L157" s="2" t="s">
        <v>380</v>
      </c>
      <c r="M157" s="2" t="str">
        <f t="shared" si="2"/>
        <v>Dec</v>
      </c>
      <c r="N157" s="2" t="s">
        <v>54</v>
      </c>
      <c r="O157" s="2" t="s">
        <v>33</v>
      </c>
      <c r="P157" s="2" t="s">
        <v>112</v>
      </c>
      <c r="Q157" s="2"/>
    </row>
    <row r="158" spans="1:17" x14ac:dyDescent="0.25">
      <c r="A158" s="3" t="s">
        <v>381</v>
      </c>
      <c r="B158" s="3" t="s">
        <v>19</v>
      </c>
      <c r="C158" s="3" t="s">
        <v>20</v>
      </c>
      <c r="D158" s="3" t="s">
        <v>21</v>
      </c>
      <c r="E158" s="3" t="s">
        <v>29</v>
      </c>
      <c r="F158" s="3" t="s">
        <v>30</v>
      </c>
      <c r="G158" s="3">
        <v>2</v>
      </c>
      <c r="H158" s="3">
        <v>190</v>
      </c>
      <c r="I158" s="3">
        <v>5</v>
      </c>
      <c r="J158" s="3">
        <v>19</v>
      </c>
      <c r="K158" s="3">
        <v>361</v>
      </c>
      <c r="L158" s="3" t="s">
        <v>382</v>
      </c>
      <c r="M158" s="2" t="str">
        <f t="shared" si="2"/>
        <v>Jul</v>
      </c>
      <c r="N158" s="3" t="s">
        <v>40</v>
      </c>
      <c r="O158" s="3" t="s">
        <v>55</v>
      </c>
      <c r="P158" s="3" t="s">
        <v>56</v>
      </c>
      <c r="Q158" s="3"/>
    </row>
    <row r="159" spans="1:17" x14ac:dyDescent="0.25">
      <c r="A159" s="2" t="s">
        <v>383</v>
      </c>
      <c r="B159" s="2" t="s">
        <v>83</v>
      </c>
      <c r="C159" s="2" t="s">
        <v>84</v>
      </c>
      <c r="D159" s="2" t="s">
        <v>85</v>
      </c>
      <c r="E159" s="2" t="s">
        <v>144</v>
      </c>
      <c r="F159" s="2" t="s">
        <v>70</v>
      </c>
      <c r="G159" s="2">
        <v>1</v>
      </c>
      <c r="H159" s="2">
        <v>1940</v>
      </c>
      <c r="I159" s="2">
        <v>10</v>
      </c>
      <c r="J159" s="2">
        <v>194</v>
      </c>
      <c r="K159" s="2">
        <v>1746</v>
      </c>
      <c r="L159" s="2" t="s">
        <v>384</v>
      </c>
      <c r="M159" s="2" t="str">
        <f t="shared" si="2"/>
        <v>Dec</v>
      </c>
      <c r="N159" s="2" t="s">
        <v>54</v>
      </c>
      <c r="O159" s="2" t="s">
        <v>55</v>
      </c>
      <c r="P159" s="2" t="s">
        <v>34</v>
      </c>
      <c r="Q159" s="2">
        <v>2.9</v>
      </c>
    </row>
    <row r="160" spans="1:17" x14ac:dyDescent="0.25">
      <c r="A160" s="3" t="s">
        <v>385</v>
      </c>
      <c r="B160" s="3" t="s">
        <v>66</v>
      </c>
      <c r="C160" s="3" t="s">
        <v>67</v>
      </c>
      <c r="D160" s="3" t="s">
        <v>68</v>
      </c>
      <c r="E160" s="3" t="s">
        <v>227</v>
      </c>
      <c r="F160" s="3" t="s">
        <v>62</v>
      </c>
      <c r="G160" s="3">
        <v>1</v>
      </c>
      <c r="H160" s="3">
        <v>560</v>
      </c>
      <c r="I160" s="3">
        <v>0</v>
      </c>
      <c r="J160" s="3">
        <v>0</v>
      </c>
      <c r="K160" s="3">
        <v>560</v>
      </c>
      <c r="L160" s="3" t="s">
        <v>386</v>
      </c>
      <c r="M160" s="2" t="str">
        <f t="shared" si="2"/>
        <v>Feb</v>
      </c>
      <c r="N160" s="3" t="s">
        <v>32</v>
      </c>
      <c r="O160" s="3" t="s">
        <v>93</v>
      </c>
      <c r="P160" s="3" t="s">
        <v>34</v>
      </c>
      <c r="Q160" s="3">
        <v>4.3</v>
      </c>
    </row>
    <row r="161" spans="1:17" x14ac:dyDescent="0.25">
      <c r="A161" s="2" t="s">
        <v>387</v>
      </c>
      <c r="B161" s="2" t="s">
        <v>125</v>
      </c>
      <c r="C161" s="2" t="s">
        <v>126</v>
      </c>
      <c r="D161" s="2" t="s">
        <v>38</v>
      </c>
      <c r="E161" s="2" t="s">
        <v>95</v>
      </c>
      <c r="F161" s="2" t="s">
        <v>23</v>
      </c>
      <c r="G161" s="2">
        <v>5</v>
      </c>
      <c r="H161" s="2">
        <v>5600</v>
      </c>
      <c r="I161" s="2">
        <v>20</v>
      </c>
      <c r="J161" s="2">
        <v>5600</v>
      </c>
      <c r="K161" s="2">
        <v>22400</v>
      </c>
      <c r="L161" s="2" t="s">
        <v>88</v>
      </c>
      <c r="M161" s="2" t="str">
        <f t="shared" si="2"/>
        <v>Oct</v>
      </c>
      <c r="N161" s="2" t="s">
        <v>54</v>
      </c>
      <c r="O161" s="2" t="s">
        <v>55</v>
      </c>
      <c r="P161" s="2" t="s">
        <v>27</v>
      </c>
      <c r="Q161" s="2"/>
    </row>
    <row r="162" spans="1:17" x14ac:dyDescent="0.25">
      <c r="A162" s="3" t="s">
        <v>388</v>
      </c>
      <c r="B162" s="3" t="s">
        <v>83</v>
      </c>
      <c r="C162" s="3" t="s">
        <v>84</v>
      </c>
      <c r="D162" s="3" t="s">
        <v>85</v>
      </c>
      <c r="E162" s="3" t="s">
        <v>69</v>
      </c>
      <c r="F162" s="3" t="s">
        <v>70</v>
      </c>
      <c r="G162" s="3">
        <v>4</v>
      </c>
      <c r="H162" s="3">
        <v>1340</v>
      </c>
      <c r="I162" s="3">
        <v>0</v>
      </c>
      <c r="J162" s="3">
        <v>0</v>
      </c>
      <c r="K162" s="3">
        <v>5360</v>
      </c>
      <c r="L162" s="3" t="s">
        <v>335</v>
      </c>
      <c r="M162" s="2" t="str">
        <f t="shared" si="2"/>
        <v>May</v>
      </c>
      <c r="N162" s="3" t="s">
        <v>25</v>
      </c>
      <c r="O162" s="3" t="s">
        <v>64</v>
      </c>
      <c r="P162" s="3" t="s">
        <v>34</v>
      </c>
      <c r="Q162" s="3">
        <v>2.8</v>
      </c>
    </row>
    <row r="163" spans="1:17" x14ac:dyDescent="0.25">
      <c r="A163" s="2" t="s">
        <v>389</v>
      </c>
      <c r="B163" s="2" t="s">
        <v>103</v>
      </c>
      <c r="C163" s="2" t="s">
        <v>104</v>
      </c>
      <c r="D163" s="2" t="s">
        <v>105</v>
      </c>
      <c r="E163" s="2" t="s">
        <v>127</v>
      </c>
      <c r="F163" s="2" t="s">
        <v>74</v>
      </c>
      <c r="G163" s="2">
        <v>2</v>
      </c>
      <c r="H163" s="2">
        <v>2640</v>
      </c>
      <c r="I163" s="2">
        <v>5</v>
      </c>
      <c r="J163" s="2">
        <v>264</v>
      </c>
      <c r="K163" s="2">
        <v>5016</v>
      </c>
      <c r="L163" s="2" t="s">
        <v>140</v>
      </c>
      <c r="M163" s="2" t="str">
        <f t="shared" si="2"/>
        <v>Feb</v>
      </c>
      <c r="N163" s="2" t="s">
        <v>32</v>
      </c>
      <c r="O163" s="2" t="s">
        <v>55</v>
      </c>
      <c r="P163" s="2" t="s">
        <v>56</v>
      </c>
      <c r="Q163" s="2"/>
    </row>
    <row r="164" spans="1:17" x14ac:dyDescent="0.25">
      <c r="A164" s="3" t="s">
        <v>390</v>
      </c>
      <c r="B164" s="3" t="s">
        <v>177</v>
      </c>
      <c r="C164" s="3" t="s">
        <v>178</v>
      </c>
      <c r="D164" s="3" t="s">
        <v>38</v>
      </c>
      <c r="E164" s="3" t="s">
        <v>22</v>
      </c>
      <c r="F164" s="3" t="s">
        <v>23</v>
      </c>
      <c r="G164" s="3">
        <v>3</v>
      </c>
      <c r="H164" s="3">
        <v>5440</v>
      </c>
      <c r="I164" s="3">
        <v>15</v>
      </c>
      <c r="J164" s="3">
        <v>2448</v>
      </c>
      <c r="K164" s="3">
        <v>13872</v>
      </c>
      <c r="L164" s="3" t="s">
        <v>88</v>
      </c>
      <c r="M164" s="2" t="str">
        <f t="shared" si="2"/>
        <v>Oct</v>
      </c>
      <c r="N164" s="3" t="s">
        <v>54</v>
      </c>
      <c r="O164" s="3" t="s">
        <v>64</v>
      </c>
      <c r="P164" s="3" t="s">
        <v>27</v>
      </c>
      <c r="Q164" s="3"/>
    </row>
    <row r="165" spans="1:17" x14ac:dyDescent="0.25">
      <c r="A165" s="2" t="s">
        <v>391</v>
      </c>
      <c r="B165" s="2" t="s">
        <v>19</v>
      </c>
      <c r="C165" s="2" t="s">
        <v>20</v>
      </c>
      <c r="D165" s="2" t="s">
        <v>21</v>
      </c>
      <c r="E165" s="2" t="s">
        <v>29</v>
      </c>
      <c r="F165" s="2" t="s">
        <v>30</v>
      </c>
      <c r="G165" s="2">
        <v>1</v>
      </c>
      <c r="H165" s="2">
        <v>220</v>
      </c>
      <c r="I165" s="2">
        <v>10</v>
      </c>
      <c r="J165" s="2">
        <v>22</v>
      </c>
      <c r="K165" s="2">
        <v>198</v>
      </c>
      <c r="L165" s="2" t="s">
        <v>392</v>
      </c>
      <c r="M165" s="2" t="str">
        <f t="shared" si="2"/>
        <v>Jan</v>
      </c>
      <c r="N165" s="2" t="s">
        <v>32</v>
      </c>
      <c r="O165" s="2" t="s">
        <v>26</v>
      </c>
      <c r="P165" s="2" t="s">
        <v>34</v>
      </c>
      <c r="Q165" s="2">
        <v>4.4000000000000004</v>
      </c>
    </row>
    <row r="166" spans="1:17" x14ac:dyDescent="0.25">
      <c r="A166" s="3" t="s">
        <v>393</v>
      </c>
      <c r="B166" s="3" t="s">
        <v>66</v>
      </c>
      <c r="C166" s="3" t="s">
        <v>67</v>
      </c>
      <c r="D166" s="3" t="s">
        <v>68</v>
      </c>
      <c r="E166" s="3" t="s">
        <v>117</v>
      </c>
      <c r="F166" s="3" t="s">
        <v>78</v>
      </c>
      <c r="G166" s="3">
        <v>3</v>
      </c>
      <c r="H166" s="3">
        <v>510</v>
      </c>
      <c r="I166" s="3">
        <v>5</v>
      </c>
      <c r="J166" s="3">
        <v>76.5</v>
      </c>
      <c r="K166" s="3">
        <v>1453.5</v>
      </c>
      <c r="L166" s="3" t="s">
        <v>394</v>
      </c>
      <c r="M166" s="2" t="str">
        <f t="shared" si="2"/>
        <v>Oct</v>
      </c>
      <c r="N166" s="3" t="s">
        <v>54</v>
      </c>
      <c r="O166" s="3" t="s">
        <v>93</v>
      </c>
      <c r="P166" s="3" t="s">
        <v>34</v>
      </c>
      <c r="Q166" s="3">
        <v>4.4000000000000004</v>
      </c>
    </row>
    <row r="167" spans="1:17" x14ac:dyDescent="0.25">
      <c r="A167" s="2" t="s">
        <v>395</v>
      </c>
      <c r="B167" s="2" t="s">
        <v>36</v>
      </c>
      <c r="C167" s="2" t="s">
        <v>37</v>
      </c>
      <c r="D167" s="2" t="s">
        <v>38</v>
      </c>
      <c r="E167" s="2" t="s">
        <v>52</v>
      </c>
      <c r="F167" s="2" t="s">
        <v>23</v>
      </c>
      <c r="G167" s="2">
        <v>5</v>
      </c>
      <c r="H167" s="2">
        <v>24300</v>
      </c>
      <c r="I167" s="2">
        <v>15</v>
      </c>
      <c r="J167" s="2">
        <v>18225</v>
      </c>
      <c r="K167" s="2">
        <v>103275</v>
      </c>
      <c r="L167" s="2" t="s">
        <v>152</v>
      </c>
      <c r="M167" s="2" t="str">
        <f t="shared" si="2"/>
        <v>Aug</v>
      </c>
      <c r="N167" s="2" t="s">
        <v>40</v>
      </c>
      <c r="O167" s="2" t="s">
        <v>55</v>
      </c>
      <c r="P167" s="2" t="s">
        <v>34</v>
      </c>
      <c r="Q167" s="2">
        <v>3.3</v>
      </c>
    </row>
    <row r="168" spans="1:17" x14ac:dyDescent="0.25">
      <c r="A168" s="3" t="s">
        <v>396</v>
      </c>
      <c r="B168" s="3" t="s">
        <v>177</v>
      </c>
      <c r="C168" s="3" t="s">
        <v>178</v>
      </c>
      <c r="D168" s="3" t="s">
        <v>38</v>
      </c>
      <c r="E168" s="3" t="s">
        <v>90</v>
      </c>
      <c r="F168" s="3" t="s">
        <v>91</v>
      </c>
      <c r="G168" s="3">
        <v>5</v>
      </c>
      <c r="H168" s="3">
        <v>3340</v>
      </c>
      <c r="I168" s="3">
        <v>0</v>
      </c>
      <c r="J168" s="3">
        <v>0</v>
      </c>
      <c r="K168" s="3">
        <v>16700</v>
      </c>
      <c r="L168" s="3" t="s">
        <v>175</v>
      </c>
      <c r="M168" s="2" t="str">
        <f t="shared" si="2"/>
        <v>Mar</v>
      </c>
      <c r="N168" s="3" t="s">
        <v>32</v>
      </c>
      <c r="O168" s="3" t="s">
        <v>26</v>
      </c>
      <c r="P168" s="3" t="s">
        <v>56</v>
      </c>
      <c r="Q168" s="3"/>
    </row>
    <row r="169" spans="1:17" x14ac:dyDescent="0.25">
      <c r="A169" s="2" t="s">
        <v>397</v>
      </c>
      <c r="B169" s="2" t="s">
        <v>36</v>
      </c>
      <c r="C169" s="2" t="s">
        <v>37</v>
      </c>
      <c r="D169" s="2" t="s">
        <v>38</v>
      </c>
      <c r="E169" s="2" t="s">
        <v>52</v>
      </c>
      <c r="F169" s="2" t="s">
        <v>23</v>
      </c>
      <c r="G169" s="2">
        <v>3</v>
      </c>
      <c r="H169" s="2">
        <v>28860</v>
      </c>
      <c r="I169" s="2">
        <v>15</v>
      </c>
      <c r="J169" s="2">
        <v>12987</v>
      </c>
      <c r="K169" s="2">
        <v>73593</v>
      </c>
      <c r="L169" s="2" t="s">
        <v>398</v>
      </c>
      <c r="M169" s="2" t="str">
        <f t="shared" si="2"/>
        <v>Sep</v>
      </c>
      <c r="N169" s="2" t="s">
        <v>40</v>
      </c>
      <c r="O169" s="2" t="s">
        <v>64</v>
      </c>
      <c r="P169" s="2" t="s">
        <v>34</v>
      </c>
      <c r="Q169" s="2">
        <v>3.2</v>
      </c>
    </row>
    <row r="170" spans="1:17" x14ac:dyDescent="0.25">
      <c r="A170" s="3" t="s">
        <v>399</v>
      </c>
      <c r="B170" s="3" t="s">
        <v>125</v>
      </c>
      <c r="C170" s="3" t="s">
        <v>126</v>
      </c>
      <c r="D170" s="3" t="s">
        <v>38</v>
      </c>
      <c r="E170" s="3" t="s">
        <v>100</v>
      </c>
      <c r="F170" s="3" t="s">
        <v>30</v>
      </c>
      <c r="G170" s="3">
        <v>1</v>
      </c>
      <c r="H170" s="3">
        <v>240</v>
      </c>
      <c r="I170" s="3">
        <v>0</v>
      </c>
      <c r="J170" s="3">
        <v>0</v>
      </c>
      <c r="K170" s="3">
        <v>240</v>
      </c>
      <c r="L170" s="3" t="s">
        <v>169</v>
      </c>
      <c r="M170" s="2" t="str">
        <f t="shared" si="2"/>
        <v>May</v>
      </c>
      <c r="N170" s="3" t="s">
        <v>25</v>
      </c>
      <c r="O170" s="3" t="s">
        <v>64</v>
      </c>
      <c r="P170" s="3" t="s">
        <v>34</v>
      </c>
      <c r="Q170" s="3">
        <v>4.2</v>
      </c>
    </row>
    <row r="171" spans="1:17" x14ac:dyDescent="0.25">
      <c r="A171" s="2" t="s">
        <v>400</v>
      </c>
      <c r="B171" s="2" t="s">
        <v>36</v>
      </c>
      <c r="C171" s="2" t="s">
        <v>37</v>
      </c>
      <c r="D171" s="2" t="s">
        <v>38</v>
      </c>
      <c r="E171" s="2" t="s">
        <v>73</v>
      </c>
      <c r="F171" s="2" t="s">
        <v>74</v>
      </c>
      <c r="G171" s="2">
        <v>4</v>
      </c>
      <c r="H171" s="2">
        <v>2470</v>
      </c>
      <c r="I171" s="2">
        <v>0</v>
      </c>
      <c r="J171" s="2">
        <v>0</v>
      </c>
      <c r="K171" s="2">
        <v>9880</v>
      </c>
      <c r="L171" s="2" t="s">
        <v>401</v>
      </c>
      <c r="M171" s="2" t="str">
        <f t="shared" si="2"/>
        <v>Jan</v>
      </c>
      <c r="N171" s="2" t="s">
        <v>32</v>
      </c>
      <c r="O171" s="2" t="s">
        <v>26</v>
      </c>
      <c r="P171" s="2" t="s">
        <v>34</v>
      </c>
      <c r="Q171" s="2">
        <v>3</v>
      </c>
    </row>
    <row r="172" spans="1:17" x14ac:dyDescent="0.25">
      <c r="A172" s="3" t="s">
        <v>402</v>
      </c>
      <c r="B172" s="3" t="s">
        <v>142</v>
      </c>
      <c r="C172" s="3" t="s">
        <v>143</v>
      </c>
      <c r="D172" s="3" t="s">
        <v>116</v>
      </c>
      <c r="E172" s="3" t="s">
        <v>77</v>
      </c>
      <c r="F172" s="3" t="s">
        <v>78</v>
      </c>
      <c r="G172" s="3">
        <v>3</v>
      </c>
      <c r="H172" s="3">
        <v>3310</v>
      </c>
      <c r="I172" s="3">
        <v>0</v>
      </c>
      <c r="J172" s="3">
        <v>0</v>
      </c>
      <c r="K172" s="3">
        <v>9930</v>
      </c>
      <c r="L172" s="3" t="s">
        <v>403</v>
      </c>
      <c r="M172" s="2" t="str">
        <f t="shared" si="2"/>
        <v>Sep</v>
      </c>
      <c r="N172" s="3" t="s">
        <v>40</v>
      </c>
      <c r="O172" s="3" t="s">
        <v>93</v>
      </c>
      <c r="P172" s="3" t="s">
        <v>34</v>
      </c>
      <c r="Q172" s="3">
        <v>3.5</v>
      </c>
    </row>
    <row r="173" spans="1:17" x14ac:dyDescent="0.25">
      <c r="A173" s="2" t="s">
        <v>404</v>
      </c>
      <c r="B173" s="2" t="s">
        <v>58</v>
      </c>
      <c r="C173" s="2" t="s">
        <v>59</v>
      </c>
      <c r="D173" s="2" t="s">
        <v>60</v>
      </c>
      <c r="E173" s="2" t="s">
        <v>73</v>
      </c>
      <c r="F173" s="2" t="s">
        <v>74</v>
      </c>
      <c r="G173" s="2">
        <v>5</v>
      </c>
      <c r="H173" s="2">
        <v>1750</v>
      </c>
      <c r="I173" s="2">
        <v>10</v>
      </c>
      <c r="J173" s="2">
        <v>875</v>
      </c>
      <c r="K173" s="2">
        <v>7875</v>
      </c>
      <c r="L173" s="2" t="s">
        <v>132</v>
      </c>
      <c r="M173" s="2" t="str">
        <f t="shared" si="2"/>
        <v>Feb</v>
      </c>
      <c r="N173" s="2" t="s">
        <v>32</v>
      </c>
      <c r="O173" s="2" t="s">
        <v>93</v>
      </c>
      <c r="P173" s="2" t="s">
        <v>112</v>
      </c>
      <c r="Q173" s="2"/>
    </row>
    <row r="174" spans="1:17" x14ac:dyDescent="0.25">
      <c r="A174" s="3" t="s">
        <v>405</v>
      </c>
      <c r="B174" s="3" t="s">
        <v>36</v>
      </c>
      <c r="C174" s="3" t="s">
        <v>37</v>
      </c>
      <c r="D174" s="3" t="s">
        <v>38</v>
      </c>
      <c r="E174" s="3" t="s">
        <v>144</v>
      </c>
      <c r="F174" s="3" t="s">
        <v>70</v>
      </c>
      <c r="G174" s="3">
        <v>1</v>
      </c>
      <c r="H174" s="3">
        <v>2380</v>
      </c>
      <c r="I174" s="3">
        <v>0</v>
      </c>
      <c r="J174" s="3">
        <v>0</v>
      </c>
      <c r="K174" s="3">
        <v>2380</v>
      </c>
      <c r="L174" s="3" t="s">
        <v>406</v>
      </c>
      <c r="M174" s="2" t="str">
        <f t="shared" si="2"/>
        <v>Jun</v>
      </c>
      <c r="N174" s="3" t="s">
        <v>25</v>
      </c>
      <c r="O174" s="3" t="s">
        <v>64</v>
      </c>
      <c r="P174" s="3" t="s">
        <v>34</v>
      </c>
      <c r="Q174" s="3">
        <v>3.5</v>
      </c>
    </row>
    <row r="175" spans="1:17" x14ac:dyDescent="0.25">
      <c r="A175" s="2" t="s">
        <v>407</v>
      </c>
      <c r="B175" s="2" t="s">
        <v>19</v>
      </c>
      <c r="C175" s="2" t="s">
        <v>20</v>
      </c>
      <c r="D175" s="2" t="s">
        <v>21</v>
      </c>
      <c r="E175" s="2" t="s">
        <v>144</v>
      </c>
      <c r="F175" s="2" t="s">
        <v>70</v>
      </c>
      <c r="G175" s="2">
        <v>3</v>
      </c>
      <c r="H175" s="2">
        <v>1350</v>
      </c>
      <c r="I175" s="2">
        <v>0</v>
      </c>
      <c r="J175" s="2">
        <v>0</v>
      </c>
      <c r="K175" s="2">
        <v>4050</v>
      </c>
      <c r="L175" s="2" t="s">
        <v>408</v>
      </c>
      <c r="M175" s="2" t="str">
        <f t="shared" si="2"/>
        <v>Jun</v>
      </c>
      <c r="N175" s="2" t="s">
        <v>25</v>
      </c>
      <c r="O175" s="2" t="s">
        <v>26</v>
      </c>
      <c r="P175" s="2" t="s">
        <v>56</v>
      </c>
      <c r="Q175" s="2"/>
    </row>
    <row r="176" spans="1:17" x14ac:dyDescent="0.25">
      <c r="A176" s="3" t="s">
        <v>409</v>
      </c>
      <c r="B176" s="3" t="s">
        <v>114</v>
      </c>
      <c r="C176" s="3" t="s">
        <v>115</v>
      </c>
      <c r="D176" s="3" t="s">
        <v>116</v>
      </c>
      <c r="E176" s="3" t="s">
        <v>61</v>
      </c>
      <c r="F176" s="3" t="s">
        <v>62</v>
      </c>
      <c r="G176" s="3">
        <v>3</v>
      </c>
      <c r="H176" s="3">
        <v>330</v>
      </c>
      <c r="I176" s="3">
        <v>0</v>
      </c>
      <c r="J176" s="3">
        <v>0</v>
      </c>
      <c r="K176" s="3">
        <v>990</v>
      </c>
      <c r="L176" s="3" t="s">
        <v>363</v>
      </c>
      <c r="M176" s="2" t="str">
        <f t="shared" si="2"/>
        <v>May</v>
      </c>
      <c r="N176" s="3" t="s">
        <v>25</v>
      </c>
      <c r="O176" s="3" t="s">
        <v>93</v>
      </c>
      <c r="P176" s="3" t="s">
        <v>27</v>
      </c>
      <c r="Q176" s="3"/>
    </row>
    <row r="177" spans="1:17" x14ac:dyDescent="0.25">
      <c r="A177" s="2" t="s">
        <v>410</v>
      </c>
      <c r="B177" s="2" t="s">
        <v>103</v>
      </c>
      <c r="C177" s="2" t="s">
        <v>104</v>
      </c>
      <c r="D177" s="2" t="s">
        <v>105</v>
      </c>
      <c r="E177" s="2" t="s">
        <v>52</v>
      </c>
      <c r="F177" s="2" t="s">
        <v>23</v>
      </c>
      <c r="G177" s="2">
        <v>4</v>
      </c>
      <c r="H177" s="2">
        <v>37410</v>
      </c>
      <c r="I177" s="2">
        <v>10</v>
      </c>
      <c r="J177" s="2">
        <v>14964</v>
      </c>
      <c r="K177" s="2">
        <v>134676</v>
      </c>
      <c r="L177" s="2" t="s">
        <v>411</v>
      </c>
      <c r="M177" s="2" t="str">
        <f t="shared" si="2"/>
        <v>Apr</v>
      </c>
      <c r="N177" s="2" t="s">
        <v>25</v>
      </c>
      <c r="O177" s="2" t="s">
        <v>55</v>
      </c>
      <c r="P177" s="2" t="s">
        <v>56</v>
      </c>
      <c r="Q177" s="2"/>
    </row>
    <row r="178" spans="1:17" x14ac:dyDescent="0.25">
      <c r="A178" s="3" t="s">
        <v>412</v>
      </c>
      <c r="B178" s="3" t="s">
        <v>49</v>
      </c>
      <c r="C178" s="3" t="s">
        <v>50</v>
      </c>
      <c r="D178" s="3" t="s">
        <v>51</v>
      </c>
      <c r="E178" s="3" t="s">
        <v>100</v>
      </c>
      <c r="F178" s="3" t="s">
        <v>30</v>
      </c>
      <c r="G178" s="3">
        <v>1</v>
      </c>
      <c r="H178" s="3">
        <v>280</v>
      </c>
      <c r="I178" s="3">
        <v>5</v>
      </c>
      <c r="J178" s="3">
        <v>14</v>
      </c>
      <c r="K178" s="3">
        <v>266</v>
      </c>
      <c r="L178" s="3" t="s">
        <v>413</v>
      </c>
      <c r="M178" s="2" t="str">
        <f t="shared" si="2"/>
        <v>Jun</v>
      </c>
      <c r="N178" s="3" t="s">
        <v>25</v>
      </c>
      <c r="O178" s="3" t="s">
        <v>55</v>
      </c>
      <c r="P178" s="3" t="s">
        <v>27</v>
      </c>
      <c r="Q178" s="3"/>
    </row>
    <row r="179" spans="1:17" x14ac:dyDescent="0.25">
      <c r="A179" s="2" t="s">
        <v>414</v>
      </c>
      <c r="B179" s="2" t="s">
        <v>42</v>
      </c>
      <c r="C179" s="2" t="s">
        <v>43</v>
      </c>
      <c r="D179" s="2" t="s">
        <v>44</v>
      </c>
      <c r="E179" s="2" t="s">
        <v>95</v>
      </c>
      <c r="F179" s="2" t="s">
        <v>23</v>
      </c>
      <c r="G179" s="2">
        <v>2</v>
      </c>
      <c r="H179" s="2">
        <v>6030</v>
      </c>
      <c r="I179" s="2">
        <v>10</v>
      </c>
      <c r="J179" s="2">
        <v>1206</v>
      </c>
      <c r="K179" s="2">
        <v>10854</v>
      </c>
      <c r="L179" s="2" t="s">
        <v>415</v>
      </c>
      <c r="M179" s="2" t="str">
        <f t="shared" si="2"/>
        <v>Apr</v>
      </c>
      <c r="N179" s="2" t="s">
        <v>25</v>
      </c>
      <c r="O179" s="2" t="s">
        <v>26</v>
      </c>
      <c r="P179" s="2" t="s">
        <v>27</v>
      </c>
      <c r="Q179" s="2"/>
    </row>
    <row r="180" spans="1:17" x14ac:dyDescent="0.25">
      <c r="A180" s="3" t="s">
        <v>416</v>
      </c>
      <c r="B180" s="3" t="s">
        <v>125</v>
      </c>
      <c r="C180" s="3" t="s">
        <v>126</v>
      </c>
      <c r="D180" s="3" t="s">
        <v>38</v>
      </c>
      <c r="E180" s="3" t="s">
        <v>52</v>
      </c>
      <c r="F180" s="3" t="s">
        <v>23</v>
      </c>
      <c r="G180" s="3">
        <v>2</v>
      </c>
      <c r="H180" s="3">
        <v>39030</v>
      </c>
      <c r="I180" s="3">
        <v>15</v>
      </c>
      <c r="J180" s="3">
        <v>11709</v>
      </c>
      <c r="K180" s="3">
        <v>66351</v>
      </c>
      <c r="L180" s="3" t="s">
        <v>417</v>
      </c>
      <c r="M180" s="2" t="str">
        <f t="shared" si="2"/>
        <v>Aug</v>
      </c>
      <c r="N180" s="3" t="s">
        <v>40</v>
      </c>
      <c r="O180" s="3" t="s">
        <v>64</v>
      </c>
      <c r="P180" s="3" t="s">
        <v>56</v>
      </c>
      <c r="Q180" s="3"/>
    </row>
    <row r="181" spans="1:17" x14ac:dyDescent="0.25">
      <c r="A181" s="2" t="s">
        <v>418</v>
      </c>
      <c r="B181" s="2" t="s">
        <v>98</v>
      </c>
      <c r="C181" s="2" t="s">
        <v>99</v>
      </c>
      <c r="D181" s="2" t="s">
        <v>51</v>
      </c>
      <c r="E181" s="2" t="s">
        <v>90</v>
      </c>
      <c r="F181" s="2" t="s">
        <v>91</v>
      </c>
      <c r="G181" s="2">
        <v>5</v>
      </c>
      <c r="H181" s="2">
        <v>4290</v>
      </c>
      <c r="I181" s="2">
        <v>10</v>
      </c>
      <c r="J181" s="2">
        <v>2145</v>
      </c>
      <c r="K181" s="2">
        <v>19305</v>
      </c>
      <c r="L181" s="2" t="s">
        <v>419</v>
      </c>
      <c r="M181" s="2" t="str">
        <f t="shared" si="2"/>
        <v>Mar</v>
      </c>
      <c r="N181" s="2" t="s">
        <v>32</v>
      </c>
      <c r="O181" s="2" t="s">
        <v>93</v>
      </c>
      <c r="P181" s="2" t="s">
        <v>34</v>
      </c>
      <c r="Q181" s="2">
        <v>3.6</v>
      </c>
    </row>
    <row r="182" spans="1:17" x14ac:dyDescent="0.25">
      <c r="A182" s="3" t="s">
        <v>420</v>
      </c>
      <c r="B182" s="3" t="s">
        <v>171</v>
      </c>
      <c r="C182" s="3" t="s">
        <v>172</v>
      </c>
      <c r="D182" s="3" t="s">
        <v>60</v>
      </c>
      <c r="E182" s="3" t="s">
        <v>77</v>
      </c>
      <c r="F182" s="3" t="s">
        <v>78</v>
      </c>
      <c r="G182" s="3">
        <v>5</v>
      </c>
      <c r="H182" s="3">
        <v>2220</v>
      </c>
      <c r="I182" s="3">
        <v>20</v>
      </c>
      <c r="J182" s="3">
        <v>2220</v>
      </c>
      <c r="K182" s="3">
        <v>8880</v>
      </c>
      <c r="L182" s="3" t="s">
        <v>376</v>
      </c>
      <c r="M182" s="2" t="str">
        <f t="shared" si="2"/>
        <v>Feb</v>
      </c>
      <c r="N182" s="3" t="s">
        <v>32</v>
      </c>
      <c r="O182" s="3" t="s">
        <v>55</v>
      </c>
      <c r="P182" s="3" t="s">
        <v>34</v>
      </c>
      <c r="Q182" s="3">
        <v>2.6</v>
      </c>
    </row>
    <row r="183" spans="1:17" x14ac:dyDescent="0.25">
      <c r="A183" s="2" t="s">
        <v>421</v>
      </c>
      <c r="B183" s="2" t="s">
        <v>177</v>
      </c>
      <c r="C183" s="2" t="s">
        <v>178</v>
      </c>
      <c r="D183" s="2" t="s">
        <v>38</v>
      </c>
      <c r="E183" s="2" t="s">
        <v>206</v>
      </c>
      <c r="F183" s="2" t="s">
        <v>78</v>
      </c>
      <c r="G183" s="2">
        <v>1</v>
      </c>
      <c r="H183" s="2">
        <v>3760</v>
      </c>
      <c r="I183" s="2">
        <v>0</v>
      </c>
      <c r="J183" s="2">
        <v>0</v>
      </c>
      <c r="K183" s="2">
        <v>3760</v>
      </c>
      <c r="L183" s="2" t="s">
        <v>372</v>
      </c>
      <c r="M183" s="2" t="str">
        <f t="shared" si="2"/>
        <v>Nov</v>
      </c>
      <c r="N183" s="2" t="s">
        <v>54</v>
      </c>
      <c r="O183" s="2" t="s">
        <v>64</v>
      </c>
      <c r="P183" s="2" t="s">
        <v>34</v>
      </c>
      <c r="Q183" s="2">
        <v>3.7</v>
      </c>
    </row>
    <row r="184" spans="1:17" x14ac:dyDescent="0.25">
      <c r="A184" s="3" t="s">
        <v>422</v>
      </c>
      <c r="B184" s="3" t="s">
        <v>103</v>
      </c>
      <c r="C184" s="3" t="s">
        <v>104</v>
      </c>
      <c r="D184" s="3" t="s">
        <v>105</v>
      </c>
      <c r="E184" s="3" t="s">
        <v>156</v>
      </c>
      <c r="F184" s="3" t="s">
        <v>23</v>
      </c>
      <c r="G184" s="3">
        <v>4</v>
      </c>
      <c r="H184" s="3">
        <v>33180</v>
      </c>
      <c r="I184" s="3">
        <v>20</v>
      </c>
      <c r="J184" s="3">
        <v>26544</v>
      </c>
      <c r="K184" s="3">
        <v>106176</v>
      </c>
      <c r="L184" s="3" t="s">
        <v>423</v>
      </c>
      <c r="M184" s="2" t="str">
        <f t="shared" si="2"/>
        <v>Nov</v>
      </c>
      <c r="N184" s="3" t="s">
        <v>54</v>
      </c>
      <c r="O184" s="3" t="s">
        <v>26</v>
      </c>
      <c r="P184" s="3" t="s">
        <v>34</v>
      </c>
      <c r="Q184" s="3">
        <v>3.7</v>
      </c>
    </row>
    <row r="185" spans="1:17" x14ac:dyDescent="0.25">
      <c r="A185" s="2" t="s">
        <v>424</v>
      </c>
      <c r="B185" s="2" t="s">
        <v>142</v>
      </c>
      <c r="C185" s="2" t="s">
        <v>143</v>
      </c>
      <c r="D185" s="2" t="s">
        <v>116</v>
      </c>
      <c r="E185" s="2" t="s">
        <v>156</v>
      </c>
      <c r="F185" s="2" t="s">
        <v>23</v>
      </c>
      <c r="G185" s="2">
        <v>4</v>
      </c>
      <c r="H185" s="2">
        <v>17070</v>
      </c>
      <c r="I185" s="2">
        <v>10</v>
      </c>
      <c r="J185" s="2">
        <v>6828</v>
      </c>
      <c r="K185" s="2">
        <v>61452</v>
      </c>
      <c r="L185" s="2" t="s">
        <v>262</v>
      </c>
      <c r="M185" s="2" t="str">
        <f t="shared" si="2"/>
        <v>Feb</v>
      </c>
      <c r="N185" s="2" t="s">
        <v>32</v>
      </c>
      <c r="O185" s="2" t="s">
        <v>64</v>
      </c>
      <c r="P185" s="2" t="s">
        <v>27</v>
      </c>
      <c r="Q185" s="2"/>
    </row>
    <row r="186" spans="1:17" x14ac:dyDescent="0.25">
      <c r="A186" s="3" t="s">
        <v>425</v>
      </c>
      <c r="B186" s="3" t="s">
        <v>36</v>
      </c>
      <c r="C186" s="3" t="s">
        <v>37</v>
      </c>
      <c r="D186" s="3" t="s">
        <v>38</v>
      </c>
      <c r="E186" s="3" t="s">
        <v>73</v>
      </c>
      <c r="F186" s="3" t="s">
        <v>74</v>
      </c>
      <c r="G186" s="3">
        <v>4</v>
      </c>
      <c r="H186" s="3">
        <v>2480</v>
      </c>
      <c r="I186" s="3">
        <v>20</v>
      </c>
      <c r="J186" s="3">
        <v>1984</v>
      </c>
      <c r="K186" s="3">
        <v>7936</v>
      </c>
      <c r="L186" s="3" t="s">
        <v>163</v>
      </c>
      <c r="M186" s="2" t="str">
        <f t="shared" si="2"/>
        <v>Sep</v>
      </c>
      <c r="N186" s="3" t="s">
        <v>40</v>
      </c>
      <c r="O186" s="3" t="s">
        <v>64</v>
      </c>
      <c r="P186" s="3" t="s">
        <v>34</v>
      </c>
      <c r="Q186" s="3">
        <v>3.4</v>
      </c>
    </row>
    <row r="187" spans="1:17" x14ac:dyDescent="0.25">
      <c r="A187" s="2" t="s">
        <v>426</v>
      </c>
      <c r="B187" s="2" t="s">
        <v>171</v>
      </c>
      <c r="C187" s="2" t="s">
        <v>172</v>
      </c>
      <c r="D187" s="2" t="s">
        <v>60</v>
      </c>
      <c r="E187" s="2" t="s">
        <v>151</v>
      </c>
      <c r="F187" s="2" t="s">
        <v>70</v>
      </c>
      <c r="G187" s="2">
        <v>4</v>
      </c>
      <c r="H187" s="2">
        <v>660</v>
      </c>
      <c r="I187" s="2">
        <v>20</v>
      </c>
      <c r="J187" s="2">
        <v>528</v>
      </c>
      <c r="K187" s="2">
        <v>2112</v>
      </c>
      <c r="L187" s="2" t="s">
        <v>179</v>
      </c>
      <c r="M187" s="2" t="str">
        <f t="shared" si="2"/>
        <v>Jan</v>
      </c>
      <c r="N187" s="2" t="s">
        <v>32</v>
      </c>
      <c r="O187" s="2" t="s">
        <v>55</v>
      </c>
      <c r="P187" s="2" t="s">
        <v>34</v>
      </c>
      <c r="Q187" s="2">
        <v>2.7</v>
      </c>
    </row>
    <row r="188" spans="1:17" x14ac:dyDescent="0.25">
      <c r="A188" s="3" t="s">
        <v>427</v>
      </c>
      <c r="B188" s="3" t="s">
        <v>19</v>
      </c>
      <c r="C188" s="3" t="s">
        <v>20</v>
      </c>
      <c r="D188" s="3" t="s">
        <v>21</v>
      </c>
      <c r="E188" s="3" t="s">
        <v>151</v>
      </c>
      <c r="F188" s="3" t="s">
        <v>70</v>
      </c>
      <c r="G188" s="3">
        <v>3</v>
      </c>
      <c r="H188" s="3">
        <v>350</v>
      </c>
      <c r="I188" s="3">
        <v>20</v>
      </c>
      <c r="J188" s="3">
        <v>210</v>
      </c>
      <c r="K188" s="3">
        <v>840</v>
      </c>
      <c r="L188" s="3" t="s">
        <v>313</v>
      </c>
      <c r="M188" s="2" t="str">
        <f t="shared" si="2"/>
        <v>Mar</v>
      </c>
      <c r="N188" s="3" t="s">
        <v>32</v>
      </c>
      <c r="O188" s="3" t="s">
        <v>55</v>
      </c>
      <c r="P188" s="3" t="s">
        <v>34</v>
      </c>
      <c r="Q188" s="3">
        <v>4.2</v>
      </c>
    </row>
    <row r="189" spans="1:17" x14ac:dyDescent="0.25">
      <c r="A189" s="2" t="s">
        <v>428</v>
      </c>
      <c r="B189" s="2" t="s">
        <v>66</v>
      </c>
      <c r="C189" s="2" t="s">
        <v>67</v>
      </c>
      <c r="D189" s="2" t="s">
        <v>68</v>
      </c>
      <c r="E189" s="2" t="s">
        <v>69</v>
      </c>
      <c r="F189" s="2" t="s">
        <v>70</v>
      </c>
      <c r="G189" s="2">
        <v>3</v>
      </c>
      <c r="H189" s="2">
        <v>1460</v>
      </c>
      <c r="I189" s="2">
        <v>15</v>
      </c>
      <c r="J189" s="2">
        <v>657</v>
      </c>
      <c r="K189" s="2">
        <v>3723</v>
      </c>
      <c r="L189" s="2" t="s">
        <v>367</v>
      </c>
      <c r="M189" s="2" t="str">
        <f t="shared" si="2"/>
        <v>Mar</v>
      </c>
      <c r="N189" s="2" t="s">
        <v>32</v>
      </c>
      <c r="O189" s="2" t="s">
        <v>64</v>
      </c>
      <c r="P189" s="2" t="s">
        <v>27</v>
      </c>
      <c r="Q189" s="2"/>
    </row>
    <row r="190" spans="1:17" x14ac:dyDescent="0.25">
      <c r="A190" s="3" t="s">
        <v>429</v>
      </c>
      <c r="B190" s="3" t="s">
        <v>49</v>
      </c>
      <c r="C190" s="3" t="s">
        <v>50</v>
      </c>
      <c r="D190" s="3" t="s">
        <v>51</v>
      </c>
      <c r="E190" s="3" t="s">
        <v>206</v>
      </c>
      <c r="F190" s="3" t="s">
        <v>78</v>
      </c>
      <c r="G190" s="3">
        <v>5</v>
      </c>
      <c r="H190" s="3">
        <v>2820</v>
      </c>
      <c r="I190" s="3">
        <v>10</v>
      </c>
      <c r="J190" s="3">
        <v>1410</v>
      </c>
      <c r="K190" s="3">
        <v>12690</v>
      </c>
      <c r="L190" s="3" t="s">
        <v>430</v>
      </c>
      <c r="M190" s="2" t="str">
        <f t="shared" si="2"/>
        <v>Mar</v>
      </c>
      <c r="N190" s="3" t="s">
        <v>32</v>
      </c>
      <c r="O190" s="3" t="s">
        <v>64</v>
      </c>
      <c r="P190" s="3" t="s">
        <v>34</v>
      </c>
      <c r="Q190" s="3">
        <v>4.2</v>
      </c>
    </row>
    <row r="191" spans="1:17" x14ac:dyDescent="0.25">
      <c r="A191" s="2" t="s">
        <v>431</v>
      </c>
      <c r="B191" s="2" t="s">
        <v>103</v>
      </c>
      <c r="C191" s="2" t="s">
        <v>104</v>
      </c>
      <c r="D191" s="2" t="s">
        <v>105</v>
      </c>
      <c r="E191" s="2" t="s">
        <v>69</v>
      </c>
      <c r="F191" s="2" t="s">
        <v>70</v>
      </c>
      <c r="G191" s="2">
        <v>1</v>
      </c>
      <c r="H191" s="2">
        <v>740</v>
      </c>
      <c r="I191" s="2">
        <v>5</v>
      </c>
      <c r="J191" s="2">
        <v>37</v>
      </c>
      <c r="K191" s="2">
        <v>703</v>
      </c>
      <c r="L191" s="2" t="s">
        <v>149</v>
      </c>
      <c r="M191" s="2" t="str">
        <f t="shared" si="2"/>
        <v>Apr</v>
      </c>
      <c r="N191" s="2" t="s">
        <v>25</v>
      </c>
      <c r="O191" s="2" t="s">
        <v>55</v>
      </c>
      <c r="P191" s="2" t="s">
        <v>112</v>
      </c>
      <c r="Q191" s="2"/>
    </row>
    <row r="192" spans="1:17" x14ac:dyDescent="0.25">
      <c r="A192" s="3" t="s">
        <v>432</v>
      </c>
      <c r="B192" s="3" t="s">
        <v>98</v>
      </c>
      <c r="C192" s="3" t="s">
        <v>99</v>
      </c>
      <c r="D192" s="3" t="s">
        <v>51</v>
      </c>
      <c r="E192" s="3" t="s">
        <v>127</v>
      </c>
      <c r="F192" s="3" t="s">
        <v>74</v>
      </c>
      <c r="G192" s="3">
        <v>2</v>
      </c>
      <c r="H192" s="3">
        <v>3500</v>
      </c>
      <c r="I192" s="3">
        <v>5</v>
      </c>
      <c r="J192" s="3">
        <v>350</v>
      </c>
      <c r="K192" s="3">
        <v>6650</v>
      </c>
      <c r="L192" s="3" t="s">
        <v>433</v>
      </c>
      <c r="M192" s="2" t="str">
        <f t="shared" si="2"/>
        <v>Feb</v>
      </c>
      <c r="N192" s="3" t="s">
        <v>32</v>
      </c>
      <c r="O192" s="3" t="s">
        <v>55</v>
      </c>
      <c r="P192" s="3" t="s">
        <v>56</v>
      </c>
      <c r="Q192" s="3"/>
    </row>
    <row r="193" spans="1:17" x14ac:dyDescent="0.25">
      <c r="A193" s="2" t="s">
        <v>434</v>
      </c>
      <c r="B193" s="2" t="s">
        <v>49</v>
      </c>
      <c r="C193" s="2" t="s">
        <v>50</v>
      </c>
      <c r="D193" s="2" t="s">
        <v>51</v>
      </c>
      <c r="E193" s="2" t="s">
        <v>100</v>
      </c>
      <c r="F193" s="2" t="s">
        <v>30</v>
      </c>
      <c r="G193" s="2">
        <v>5</v>
      </c>
      <c r="H193" s="2">
        <v>360</v>
      </c>
      <c r="I193" s="2">
        <v>20</v>
      </c>
      <c r="J193" s="2">
        <v>360</v>
      </c>
      <c r="K193" s="2">
        <v>1440</v>
      </c>
      <c r="L193" s="2" t="s">
        <v>198</v>
      </c>
      <c r="M193" s="2" t="str">
        <f t="shared" si="2"/>
        <v>Jan</v>
      </c>
      <c r="N193" s="2" t="s">
        <v>32</v>
      </c>
      <c r="O193" s="2" t="s">
        <v>55</v>
      </c>
      <c r="P193" s="2" t="s">
        <v>112</v>
      </c>
      <c r="Q193" s="2"/>
    </row>
    <row r="194" spans="1:17" x14ac:dyDescent="0.25">
      <c r="A194" s="3" t="s">
        <v>435</v>
      </c>
      <c r="B194" s="3" t="s">
        <v>114</v>
      </c>
      <c r="C194" s="3" t="s">
        <v>115</v>
      </c>
      <c r="D194" s="3" t="s">
        <v>116</v>
      </c>
      <c r="E194" s="3" t="s">
        <v>95</v>
      </c>
      <c r="F194" s="3" t="s">
        <v>23</v>
      </c>
      <c r="G194" s="3">
        <v>5</v>
      </c>
      <c r="H194" s="3">
        <v>8770</v>
      </c>
      <c r="I194" s="3">
        <v>5</v>
      </c>
      <c r="J194" s="3">
        <v>2192.5</v>
      </c>
      <c r="K194" s="3">
        <v>41657.5</v>
      </c>
      <c r="L194" s="3" t="s">
        <v>296</v>
      </c>
      <c r="M194" s="2" t="str">
        <f t="shared" si="2"/>
        <v>Apr</v>
      </c>
      <c r="N194" s="3" t="s">
        <v>25</v>
      </c>
      <c r="O194" s="3" t="s">
        <v>64</v>
      </c>
      <c r="P194" s="3" t="s">
        <v>56</v>
      </c>
      <c r="Q194" s="3"/>
    </row>
    <row r="195" spans="1:17" x14ac:dyDescent="0.25">
      <c r="A195" s="2" t="s">
        <v>436</v>
      </c>
      <c r="B195" s="2" t="s">
        <v>142</v>
      </c>
      <c r="C195" s="2" t="s">
        <v>143</v>
      </c>
      <c r="D195" s="2" t="s">
        <v>116</v>
      </c>
      <c r="E195" s="2" t="s">
        <v>61</v>
      </c>
      <c r="F195" s="2" t="s">
        <v>62</v>
      </c>
      <c r="G195" s="2">
        <v>1</v>
      </c>
      <c r="H195" s="2">
        <v>420</v>
      </c>
      <c r="I195" s="2">
        <v>5</v>
      </c>
      <c r="J195" s="2">
        <v>21</v>
      </c>
      <c r="K195" s="2">
        <v>399</v>
      </c>
      <c r="L195" s="2" t="s">
        <v>327</v>
      </c>
      <c r="M195" s="2" t="str">
        <f t="shared" si="2"/>
        <v>Aug</v>
      </c>
      <c r="N195" s="2" t="s">
        <v>40</v>
      </c>
      <c r="O195" s="2" t="s">
        <v>64</v>
      </c>
      <c r="P195" s="2" t="s">
        <v>34</v>
      </c>
      <c r="Q195" s="2">
        <v>4.4000000000000004</v>
      </c>
    </row>
    <row r="196" spans="1:17" x14ac:dyDescent="0.25">
      <c r="A196" s="3" t="s">
        <v>437</v>
      </c>
      <c r="B196" s="3" t="s">
        <v>98</v>
      </c>
      <c r="C196" s="3" t="s">
        <v>99</v>
      </c>
      <c r="D196" s="3" t="s">
        <v>51</v>
      </c>
      <c r="E196" s="3" t="s">
        <v>73</v>
      </c>
      <c r="F196" s="3" t="s">
        <v>74</v>
      </c>
      <c r="G196" s="3">
        <v>5</v>
      </c>
      <c r="H196" s="3">
        <v>1210</v>
      </c>
      <c r="I196" s="3">
        <v>15</v>
      </c>
      <c r="J196" s="3">
        <v>907.5</v>
      </c>
      <c r="K196" s="3">
        <v>5142.5</v>
      </c>
      <c r="L196" s="3" t="s">
        <v>219</v>
      </c>
      <c r="M196" s="2" t="str">
        <f t="shared" ref="M196:M252" si="3">TEXT(L196,"mmm")</f>
        <v>Apr</v>
      </c>
      <c r="N196" s="3" t="s">
        <v>25</v>
      </c>
      <c r="O196" s="3" t="s">
        <v>55</v>
      </c>
      <c r="P196" s="3" t="s">
        <v>27</v>
      </c>
      <c r="Q196" s="3"/>
    </row>
    <row r="197" spans="1:17" x14ac:dyDescent="0.25">
      <c r="A197" s="2" t="s">
        <v>438</v>
      </c>
      <c r="B197" s="2" t="s">
        <v>114</v>
      </c>
      <c r="C197" s="2" t="s">
        <v>115</v>
      </c>
      <c r="D197" s="2" t="s">
        <v>116</v>
      </c>
      <c r="E197" s="2" t="s">
        <v>61</v>
      </c>
      <c r="F197" s="2" t="s">
        <v>62</v>
      </c>
      <c r="G197" s="2">
        <v>4</v>
      </c>
      <c r="H197" s="2">
        <v>530</v>
      </c>
      <c r="I197" s="2">
        <v>15</v>
      </c>
      <c r="J197" s="2">
        <v>318</v>
      </c>
      <c r="K197" s="2">
        <v>1802</v>
      </c>
      <c r="L197" s="2" t="s">
        <v>319</v>
      </c>
      <c r="M197" s="2" t="str">
        <f t="shared" si="3"/>
        <v>Sep</v>
      </c>
      <c r="N197" s="2" t="s">
        <v>40</v>
      </c>
      <c r="O197" s="2" t="s">
        <v>64</v>
      </c>
      <c r="P197" s="2" t="s">
        <v>34</v>
      </c>
      <c r="Q197" s="2">
        <v>2.9</v>
      </c>
    </row>
    <row r="198" spans="1:17" x14ac:dyDescent="0.25">
      <c r="A198" s="3" t="s">
        <v>439</v>
      </c>
      <c r="B198" s="3" t="s">
        <v>134</v>
      </c>
      <c r="C198" s="3" t="s">
        <v>135</v>
      </c>
      <c r="D198" s="3" t="s">
        <v>68</v>
      </c>
      <c r="E198" s="3" t="s">
        <v>110</v>
      </c>
      <c r="F198" s="3" t="s">
        <v>91</v>
      </c>
      <c r="G198" s="3">
        <v>2</v>
      </c>
      <c r="H198" s="3">
        <v>11110</v>
      </c>
      <c r="I198" s="3">
        <v>0</v>
      </c>
      <c r="J198" s="3">
        <v>0</v>
      </c>
      <c r="K198" s="3">
        <v>22220</v>
      </c>
      <c r="L198" s="3" t="s">
        <v>440</v>
      </c>
      <c r="M198" s="2" t="str">
        <f t="shared" si="3"/>
        <v>Nov</v>
      </c>
      <c r="N198" s="3" t="s">
        <v>54</v>
      </c>
      <c r="O198" s="3" t="s">
        <v>93</v>
      </c>
      <c r="P198" s="3" t="s">
        <v>112</v>
      </c>
      <c r="Q198" s="3"/>
    </row>
    <row r="199" spans="1:17" x14ac:dyDescent="0.25">
      <c r="A199" s="2" t="s">
        <v>441</v>
      </c>
      <c r="B199" s="2" t="s">
        <v>103</v>
      </c>
      <c r="C199" s="2" t="s">
        <v>104</v>
      </c>
      <c r="D199" s="2" t="s">
        <v>105</v>
      </c>
      <c r="E199" s="2" t="s">
        <v>22</v>
      </c>
      <c r="F199" s="2" t="s">
        <v>23</v>
      </c>
      <c r="G199" s="2">
        <v>5</v>
      </c>
      <c r="H199" s="2">
        <v>7110</v>
      </c>
      <c r="I199" s="2">
        <v>10</v>
      </c>
      <c r="J199" s="2">
        <v>3555</v>
      </c>
      <c r="K199" s="2">
        <v>31995</v>
      </c>
      <c r="L199" s="2" t="s">
        <v>442</v>
      </c>
      <c r="M199" s="2" t="str">
        <f t="shared" si="3"/>
        <v>Feb</v>
      </c>
      <c r="N199" s="2" t="s">
        <v>32</v>
      </c>
      <c r="O199" s="2" t="s">
        <v>26</v>
      </c>
      <c r="P199" s="2" t="s">
        <v>34</v>
      </c>
      <c r="Q199" s="2">
        <v>4.8</v>
      </c>
    </row>
    <row r="200" spans="1:17" x14ac:dyDescent="0.25">
      <c r="A200" s="3" t="s">
        <v>443</v>
      </c>
      <c r="B200" s="3" t="s">
        <v>142</v>
      </c>
      <c r="C200" s="3" t="s">
        <v>143</v>
      </c>
      <c r="D200" s="3" t="s">
        <v>116</v>
      </c>
      <c r="E200" s="3" t="s">
        <v>144</v>
      </c>
      <c r="F200" s="3" t="s">
        <v>70</v>
      </c>
      <c r="G200" s="3">
        <v>1</v>
      </c>
      <c r="H200" s="3">
        <v>3840</v>
      </c>
      <c r="I200" s="3">
        <v>5</v>
      </c>
      <c r="J200" s="3">
        <v>192</v>
      </c>
      <c r="K200" s="3">
        <v>3648</v>
      </c>
      <c r="L200" s="3" t="s">
        <v>444</v>
      </c>
      <c r="M200" s="2" t="str">
        <f t="shared" si="3"/>
        <v>Aug</v>
      </c>
      <c r="N200" s="3" t="s">
        <v>40</v>
      </c>
      <c r="O200" s="3" t="s">
        <v>55</v>
      </c>
      <c r="P200" s="3" t="s">
        <v>112</v>
      </c>
      <c r="Q200" s="3"/>
    </row>
    <row r="201" spans="1:17" x14ac:dyDescent="0.25">
      <c r="A201" s="2" t="s">
        <v>445</v>
      </c>
      <c r="B201" s="2" t="s">
        <v>83</v>
      </c>
      <c r="C201" s="2" t="s">
        <v>84</v>
      </c>
      <c r="D201" s="2" t="s">
        <v>85</v>
      </c>
      <c r="E201" s="2" t="s">
        <v>156</v>
      </c>
      <c r="F201" s="2" t="s">
        <v>23</v>
      </c>
      <c r="G201" s="2">
        <v>4</v>
      </c>
      <c r="H201" s="2">
        <v>25040</v>
      </c>
      <c r="I201" s="2">
        <v>5</v>
      </c>
      <c r="J201" s="2">
        <v>5008</v>
      </c>
      <c r="K201" s="2">
        <v>95152</v>
      </c>
      <c r="L201" s="2" t="s">
        <v>446</v>
      </c>
      <c r="M201" s="2" t="str">
        <f t="shared" si="3"/>
        <v>Jul</v>
      </c>
      <c r="N201" s="2" t="s">
        <v>40</v>
      </c>
      <c r="O201" s="2" t="s">
        <v>33</v>
      </c>
      <c r="P201" s="2" t="s">
        <v>34</v>
      </c>
      <c r="Q201" s="2">
        <v>2.6</v>
      </c>
    </row>
    <row r="202" spans="1:17" x14ac:dyDescent="0.25">
      <c r="A202" s="3" t="s">
        <v>447</v>
      </c>
      <c r="B202" s="3" t="s">
        <v>66</v>
      </c>
      <c r="C202" s="3" t="s">
        <v>67</v>
      </c>
      <c r="D202" s="3" t="s">
        <v>68</v>
      </c>
      <c r="E202" s="3" t="s">
        <v>22</v>
      </c>
      <c r="F202" s="3" t="s">
        <v>23</v>
      </c>
      <c r="G202" s="3">
        <v>3</v>
      </c>
      <c r="H202" s="3">
        <v>6750</v>
      </c>
      <c r="I202" s="3">
        <v>5</v>
      </c>
      <c r="J202" s="3">
        <v>1012.5</v>
      </c>
      <c r="K202" s="3">
        <v>19237.5</v>
      </c>
      <c r="L202" s="3" t="s">
        <v>198</v>
      </c>
      <c r="M202" s="2" t="str">
        <f t="shared" si="3"/>
        <v>Jan</v>
      </c>
      <c r="N202" s="3" t="s">
        <v>32</v>
      </c>
      <c r="O202" s="3" t="s">
        <v>55</v>
      </c>
      <c r="P202" s="3" t="s">
        <v>112</v>
      </c>
      <c r="Q202" s="3"/>
    </row>
    <row r="203" spans="1:17" x14ac:dyDescent="0.25">
      <c r="A203" s="2" t="s">
        <v>448</v>
      </c>
      <c r="B203" s="2" t="s">
        <v>98</v>
      </c>
      <c r="C203" s="2" t="s">
        <v>99</v>
      </c>
      <c r="D203" s="2" t="s">
        <v>51</v>
      </c>
      <c r="E203" s="2" t="s">
        <v>95</v>
      </c>
      <c r="F203" s="2" t="s">
        <v>23</v>
      </c>
      <c r="G203" s="2">
        <v>4</v>
      </c>
      <c r="H203" s="2">
        <v>9490</v>
      </c>
      <c r="I203" s="2">
        <v>0</v>
      </c>
      <c r="J203" s="2">
        <v>0</v>
      </c>
      <c r="K203" s="2">
        <v>37960</v>
      </c>
      <c r="L203" s="2" t="s">
        <v>63</v>
      </c>
      <c r="M203" s="2" t="str">
        <f t="shared" si="3"/>
        <v>Feb</v>
      </c>
      <c r="N203" s="2" t="s">
        <v>32</v>
      </c>
      <c r="O203" s="2" t="s">
        <v>33</v>
      </c>
      <c r="P203" s="2" t="s">
        <v>34</v>
      </c>
      <c r="Q203" s="2">
        <v>4.5999999999999996</v>
      </c>
    </row>
    <row r="204" spans="1:17" x14ac:dyDescent="0.25">
      <c r="A204" s="3" t="s">
        <v>449</v>
      </c>
      <c r="B204" s="3" t="s">
        <v>103</v>
      </c>
      <c r="C204" s="3" t="s">
        <v>104</v>
      </c>
      <c r="D204" s="3" t="s">
        <v>105</v>
      </c>
      <c r="E204" s="3" t="s">
        <v>110</v>
      </c>
      <c r="F204" s="3" t="s">
        <v>91</v>
      </c>
      <c r="G204" s="3">
        <v>5</v>
      </c>
      <c r="H204" s="3">
        <v>7960</v>
      </c>
      <c r="I204" s="3">
        <v>10</v>
      </c>
      <c r="J204" s="3">
        <v>3980</v>
      </c>
      <c r="K204" s="3">
        <v>35820</v>
      </c>
      <c r="L204" s="3" t="s">
        <v>450</v>
      </c>
      <c r="M204" s="2" t="str">
        <f t="shared" si="3"/>
        <v>May</v>
      </c>
      <c r="N204" s="3" t="s">
        <v>25</v>
      </c>
      <c r="O204" s="3" t="s">
        <v>55</v>
      </c>
      <c r="P204" s="3" t="s">
        <v>34</v>
      </c>
      <c r="Q204" s="3">
        <v>3.1</v>
      </c>
    </row>
    <row r="205" spans="1:17" x14ac:dyDescent="0.25">
      <c r="A205" s="2" t="s">
        <v>451</v>
      </c>
      <c r="B205" s="2" t="s">
        <v>19</v>
      </c>
      <c r="C205" s="2" t="s">
        <v>20</v>
      </c>
      <c r="D205" s="2" t="s">
        <v>21</v>
      </c>
      <c r="E205" s="2" t="s">
        <v>110</v>
      </c>
      <c r="F205" s="2" t="s">
        <v>91</v>
      </c>
      <c r="G205" s="2">
        <v>4</v>
      </c>
      <c r="H205" s="2">
        <v>5440</v>
      </c>
      <c r="I205" s="2">
        <v>15</v>
      </c>
      <c r="J205" s="2">
        <v>3264</v>
      </c>
      <c r="K205" s="2">
        <v>18496</v>
      </c>
      <c r="L205" s="2" t="s">
        <v>96</v>
      </c>
      <c r="M205" s="2" t="str">
        <f t="shared" si="3"/>
        <v>Nov</v>
      </c>
      <c r="N205" s="2" t="s">
        <v>54</v>
      </c>
      <c r="O205" s="2" t="s">
        <v>64</v>
      </c>
      <c r="P205" s="2" t="s">
        <v>34</v>
      </c>
      <c r="Q205" s="2">
        <v>3.8</v>
      </c>
    </row>
    <row r="206" spans="1:17" x14ac:dyDescent="0.25">
      <c r="A206" s="3" t="s">
        <v>452</v>
      </c>
      <c r="B206" s="3" t="s">
        <v>134</v>
      </c>
      <c r="C206" s="3" t="s">
        <v>135</v>
      </c>
      <c r="D206" s="3" t="s">
        <v>68</v>
      </c>
      <c r="E206" s="3" t="s">
        <v>95</v>
      </c>
      <c r="F206" s="3" t="s">
        <v>23</v>
      </c>
      <c r="G206" s="3">
        <v>3</v>
      </c>
      <c r="H206" s="3">
        <v>9290</v>
      </c>
      <c r="I206" s="3">
        <v>20</v>
      </c>
      <c r="J206" s="3">
        <v>5574</v>
      </c>
      <c r="K206" s="3">
        <v>22296</v>
      </c>
      <c r="L206" s="3" t="s">
        <v>453</v>
      </c>
      <c r="M206" s="2" t="str">
        <f t="shared" si="3"/>
        <v>Jun</v>
      </c>
      <c r="N206" s="3" t="s">
        <v>25</v>
      </c>
      <c r="O206" s="3" t="s">
        <v>26</v>
      </c>
      <c r="P206" s="3" t="s">
        <v>27</v>
      </c>
      <c r="Q206" s="3"/>
    </row>
    <row r="207" spans="1:17" x14ac:dyDescent="0.25">
      <c r="A207" s="2" t="s">
        <v>454</v>
      </c>
      <c r="B207" s="2" t="s">
        <v>142</v>
      </c>
      <c r="C207" s="2" t="s">
        <v>143</v>
      </c>
      <c r="D207" s="2" t="s">
        <v>116</v>
      </c>
      <c r="E207" s="2" t="s">
        <v>52</v>
      </c>
      <c r="F207" s="2" t="s">
        <v>23</v>
      </c>
      <c r="G207" s="2">
        <v>5</v>
      </c>
      <c r="H207" s="2">
        <v>39490</v>
      </c>
      <c r="I207" s="2">
        <v>0</v>
      </c>
      <c r="J207" s="2">
        <v>0</v>
      </c>
      <c r="K207" s="2">
        <v>197450</v>
      </c>
      <c r="L207" s="2" t="s">
        <v>455</v>
      </c>
      <c r="M207" s="2" t="str">
        <f t="shared" si="3"/>
        <v>Sep</v>
      </c>
      <c r="N207" s="2" t="s">
        <v>40</v>
      </c>
      <c r="O207" s="2" t="s">
        <v>64</v>
      </c>
      <c r="P207" s="2" t="s">
        <v>34</v>
      </c>
      <c r="Q207" s="2">
        <v>5</v>
      </c>
    </row>
    <row r="208" spans="1:17" x14ac:dyDescent="0.25">
      <c r="A208" s="3" t="s">
        <v>456</v>
      </c>
      <c r="B208" s="3" t="s">
        <v>103</v>
      </c>
      <c r="C208" s="3" t="s">
        <v>104</v>
      </c>
      <c r="D208" s="3" t="s">
        <v>105</v>
      </c>
      <c r="E208" s="3" t="s">
        <v>45</v>
      </c>
      <c r="F208" s="3" t="s">
        <v>23</v>
      </c>
      <c r="G208" s="3">
        <v>4</v>
      </c>
      <c r="H208" s="3">
        <v>53730</v>
      </c>
      <c r="I208" s="3">
        <v>0</v>
      </c>
      <c r="J208" s="3">
        <v>0</v>
      </c>
      <c r="K208" s="3">
        <v>214920</v>
      </c>
      <c r="L208" s="3" t="s">
        <v>75</v>
      </c>
      <c r="M208" s="2" t="str">
        <f t="shared" si="3"/>
        <v>Nov</v>
      </c>
      <c r="N208" s="3" t="s">
        <v>54</v>
      </c>
      <c r="O208" s="3" t="s">
        <v>93</v>
      </c>
      <c r="P208" s="3" t="s">
        <v>223</v>
      </c>
      <c r="Q208" s="3"/>
    </row>
    <row r="209" spans="1:17" x14ac:dyDescent="0.25">
      <c r="A209" s="2" t="s">
        <v>457</v>
      </c>
      <c r="B209" s="2" t="s">
        <v>171</v>
      </c>
      <c r="C209" s="2" t="s">
        <v>172</v>
      </c>
      <c r="D209" s="2" t="s">
        <v>60</v>
      </c>
      <c r="E209" s="2" t="s">
        <v>45</v>
      </c>
      <c r="F209" s="2" t="s">
        <v>23</v>
      </c>
      <c r="G209" s="2">
        <v>3</v>
      </c>
      <c r="H209" s="2">
        <v>52890</v>
      </c>
      <c r="I209" s="2">
        <v>10</v>
      </c>
      <c r="J209" s="2">
        <v>15867</v>
      </c>
      <c r="K209" s="2">
        <v>142803</v>
      </c>
      <c r="L209" s="2" t="s">
        <v>458</v>
      </c>
      <c r="M209" s="2" t="str">
        <f t="shared" si="3"/>
        <v>May</v>
      </c>
      <c r="N209" s="2" t="s">
        <v>25</v>
      </c>
      <c r="O209" s="2" t="s">
        <v>33</v>
      </c>
      <c r="P209" s="2" t="s">
        <v>56</v>
      </c>
      <c r="Q209" s="2"/>
    </row>
    <row r="210" spans="1:17" x14ac:dyDescent="0.25">
      <c r="A210" s="3" t="s">
        <v>459</v>
      </c>
      <c r="B210" s="3" t="s">
        <v>58</v>
      </c>
      <c r="C210" s="3" t="s">
        <v>59</v>
      </c>
      <c r="D210" s="3" t="s">
        <v>60</v>
      </c>
      <c r="E210" s="3" t="s">
        <v>117</v>
      </c>
      <c r="F210" s="3" t="s">
        <v>78</v>
      </c>
      <c r="G210" s="3">
        <v>2</v>
      </c>
      <c r="H210" s="3">
        <v>570</v>
      </c>
      <c r="I210" s="3">
        <v>20</v>
      </c>
      <c r="J210" s="3">
        <v>228</v>
      </c>
      <c r="K210" s="3">
        <v>912</v>
      </c>
      <c r="L210" s="3" t="s">
        <v>322</v>
      </c>
      <c r="M210" s="2" t="str">
        <f t="shared" si="3"/>
        <v>Jun</v>
      </c>
      <c r="N210" s="3" t="s">
        <v>25</v>
      </c>
      <c r="O210" s="3" t="s">
        <v>26</v>
      </c>
      <c r="P210" s="3" t="s">
        <v>56</v>
      </c>
      <c r="Q210" s="3"/>
    </row>
    <row r="211" spans="1:17" x14ac:dyDescent="0.25">
      <c r="A211" s="2" t="s">
        <v>460</v>
      </c>
      <c r="B211" s="2" t="s">
        <v>19</v>
      </c>
      <c r="C211" s="2" t="s">
        <v>20</v>
      </c>
      <c r="D211" s="2" t="s">
        <v>21</v>
      </c>
      <c r="E211" s="2" t="s">
        <v>61</v>
      </c>
      <c r="F211" s="2" t="s">
        <v>62</v>
      </c>
      <c r="G211" s="2">
        <v>4</v>
      </c>
      <c r="H211" s="2">
        <v>490</v>
      </c>
      <c r="I211" s="2">
        <v>5</v>
      </c>
      <c r="J211" s="2">
        <v>98</v>
      </c>
      <c r="K211" s="2">
        <v>1862</v>
      </c>
      <c r="L211" s="2" t="s">
        <v>461</v>
      </c>
      <c r="M211" s="2" t="str">
        <f t="shared" si="3"/>
        <v>Feb</v>
      </c>
      <c r="N211" s="2" t="s">
        <v>32</v>
      </c>
      <c r="O211" s="2" t="s">
        <v>93</v>
      </c>
      <c r="P211" s="2" t="s">
        <v>34</v>
      </c>
      <c r="Q211" s="2">
        <v>3</v>
      </c>
    </row>
    <row r="212" spans="1:17" x14ac:dyDescent="0.25">
      <c r="A212" s="3" t="s">
        <v>462</v>
      </c>
      <c r="B212" s="3" t="s">
        <v>125</v>
      </c>
      <c r="C212" s="3" t="s">
        <v>126</v>
      </c>
      <c r="D212" s="3" t="s">
        <v>38</v>
      </c>
      <c r="E212" s="3" t="s">
        <v>127</v>
      </c>
      <c r="F212" s="3" t="s">
        <v>74</v>
      </c>
      <c r="G212" s="3">
        <v>1</v>
      </c>
      <c r="H212" s="3">
        <v>1790</v>
      </c>
      <c r="I212" s="3">
        <v>10</v>
      </c>
      <c r="J212" s="3">
        <v>179</v>
      </c>
      <c r="K212" s="3">
        <v>1611</v>
      </c>
      <c r="L212" s="3" t="s">
        <v>463</v>
      </c>
      <c r="M212" s="2" t="str">
        <f t="shared" si="3"/>
        <v>Sep</v>
      </c>
      <c r="N212" s="3" t="s">
        <v>40</v>
      </c>
      <c r="O212" s="3" t="s">
        <v>93</v>
      </c>
      <c r="P212" s="3" t="s">
        <v>223</v>
      </c>
      <c r="Q212" s="3"/>
    </row>
    <row r="213" spans="1:17" x14ac:dyDescent="0.25">
      <c r="A213" s="2" t="s">
        <v>464</v>
      </c>
      <c r="B213" s="2" t="s">
        <v>103</v>
      </c>
      <c r="C213" s="2" t="s">
        <v>104</v>
      </c>
      <c r="D213" s="2" t="s">
        <v>105</v>
      </c>
      <c r="E213" s="2" t="s">
        <v>227</v>
      </c>
      <c r="F213" s="2" t="s">
        <v>62</v>
      </c>
      <c r="G213" s="2">
        <v>3</v>
      </c>
      <c r="H213" s="2">
        <v>530</v>
      </c>
      <c r="I213" s="2">
        <v>5</v>
      </c>
      <c r="J213" s="2">
        <v>79.5</v>
      </c>
      <c r="K213" s="2">
        <v>1510.5</v>
      </c>
      <c r="L213" s="2" t="s">
        <v>211</v>
      </c>
      <c r="M213" s="2" t="str">
        <f t="shared" si="3"/>
        <v>May</v>
      </c>
      <c r="N213" s="2" t="s">
        <v>25</v>
      </c>
      <c r="O213" s="2" t="s">
        <v>55</v>
      </c>
      <c r="P213" s="2" t="s">
        <v>112</v>
      </c>
      <c r="Q213" s="2"/>
    </row>
    <row r="214" spans="1:17" x14ac:dyDescent="0.25">
      <c r="A214" s="3" t="s">
        <v>465</v>
      </c>
      <c r="B214" s="3" t="s">
        <v>36</v>
      </c>
      <c r="C214" s="3" t="s">
        <v>37</v>
      </c>
      <c r="D214" s="3" t="s">
        <v>38</v>
      </c>
      <c r="E214" s="3" t="s">
        <v>117</v>
      </c>
      <c r="F214" s="3" t="s">
        <v>78</v>
      </c>
      <c r="G214" s="3">
        <v>3</v>
      </c>
      <c r="H214" s="3">
        <v>690</v>
      </c>
      <c r="I214" s="3">
        <v>10</v>
      </c>
      <c r="J214" s="3">
        <v>207</v>
      </c>
      <c r="K214" s="3">
        <v>1863</v>
      </c>
      <c r="L214" s="3" t="s">
        <v>466</v>
      </c>
      <c r="M214" s="2" t="str">
        <f t="shared" si="3"/>
        <v>Aug</v>
      </c>
      <c r="N214" s="3" t="s">
        <v>40</v>
      </c>
      <c r="O214" s="3" t="s">
        <v>93</v>
      </c>
      <c r="P214" s="3" t="s">
        <v>27</v>
      </c>
      <c r="Q214" s="3"/>
    </row>
    <row r="215" spans="1:17" x14ac:dyDescent="0.25">
      <c r="A215" s="2" t="s">
        <v>467</v>
      </c>
      <c r="B215" s="2" t="s">
        <v>66</v>
      </c>
      <c r="C215" s="2" t="s">
        <v>67</v>
      </c>
      <c r="D215" s="2" t="s">
        <v>68</v>
      </c>
      <c r="E215" s="2" t="s">
        <v>151</v>
      </c>
      <c r="F215" s="2" t="s">
        <v>70</v>
      </c>
      <c r="G215" s="2">
        <v>3</v>
      </c>
      <c r="H215" s="2">
        <v>780</v>
      </c>
      <c r="I215" s="2">
        <v>15</v>
      </c>
      <c r="J215" s="2">
        <v>351</v>
      </c>
      <c r="K215" s="2">
        <v>1989</v>
      </c>
      <c r="L215" s="2" t="s">
        <v>468</v>
      </c>
      <c r="M215" s="2" t="str">
        <f t="shared" si="3"/>
        <v>Dec</v>
      </c>
      <c r="N215" s="2" t="s">
        <v>54</v>
      </c>
      <c r="O215" s="2" t="s">
        <v>93</v>
      </c>
      <c r="P215" s="2" t="s">
        <v>34</v>
      </c>
      <c r="Q215" s="2">
        <v>4.5</v>
      </c>
    </row>
    <row r="216" spans="1:17" x14ac:dyDescent="0.25">
      <c r="A216" s="3" t="s">
        <v>469</v>
      </c>
      <c r="B216" s="3" t="s">
        <v>171</v>
      </c>
      <c r="C216" s="3" t="s">
        <v>172</v>
      </c>
      <c r="D216" s="3" t="s">
        <v>60</v>
      </c>
      <c r="E216" s="3" t="s">
        <v>52</v>
      </c>
      <c r="F216" s="3" t="s">
        <v>23</v>
      </c>
      <c r="G216" s="3">
        <v>4</v>
      </c>
      <c r="H216" s="3">
        <v>21580</v>
      </c>
      <c r="I216" s="3">
        <v>20</v>
      </c>
      <c r="J216" s="3">
        <v>17264</v>
      </c>
      <c r="K216" s="3">
        <v>69056</v>
      </c>
      <c r="L216" s="3" t="s">
        <v>296</v>
      </c>
      <c r="M216" s="2" t="str">
        <f t="shared" si="3"/>
        <v>Apr</v>
      </c>
      <c r="N216" s="3" t="s">
        <v>25</v>
      </c>
      <c r="O216" s="3" t="s">
        <v>64</v>
      </c>
      <c r="P216" s="3" t="s">
        <v>34</v>
      </c>
      <c r="Q216" s="3">
        <v>2.8</v>
      </c>
    </row>
    <row r="217" spans="1:17" x14ac:dyDescent="0.25">
      <c r="A217" s="2" t="s">
        <v>470</v>
      </c>
      <c r="B217" s="2" t="s">
        <v>177</v>
      </c>
      <c r="C217" s="2" t="s">
        <v>178</v>
      </c>
      <c r="D217" s="2" t="s">
        <v>38</v>
      </c>
      <c r="E217" s="2" t="s">
        <v>206</v>
      </c>
      <c r="F217" s="2" t="s">
        <v>78</v>
      </c>
      <c r="G217" s="2">
        <v>3</v>
      </c>
      <c r="H217" s="2">
        <v>3060</v>
      </c>
      <c r="I217" s="2">
        <v>15</v>
      </c>
      <c r="J217" s="2">
        <v>1377</v>
      </c>
      <c r="K217" s="2">
        <v>7803</v>
      </c>
      <c r="L217" s="2" t="s">
        <v>471</v>
      </c>
      <c r="M217" s="2" t="str">
        <f t="shared" si="3"/>
        <v>Mar</v>
      </c>
      <c r="N217" s="2" t="s">
        <v>32</v>
      </c>
      <c r="O217" s="2" t="s">
        <v>93</v>
      </c>
      <c r="P217" s="2" t="s">
        <v>34</v>
      </c>
      <c r="Q217" s="2">
        <v>2.6</v>
      </c>
    </row>
    <row r="218" spans="1:17" x14ac:dyDescent="0.25">
      <c r="A218" s="3" t="s">
        <v>472</v>
      </c>
      <c r="B218" s="3" t="s">
        <v>42</v>
      </c>
      <c r="C218" s="3" t="s">
        <v>43</v>
      </c>
      <c r="D218" s="3" t="s">
        <v>44</v>
      </c>
      <c r="E218" s="3" t="s">
        <v>69</v>
      </c>
      <c r="F218" s="3" t="s">
        <v>70</v>
      </c>
      <c r="G218" s="3">
        <v>5</v>
      </c>
      <c r="H218" s="3">
        <v>1500</v>
      </c>
      <c r="I218" s="3">
        <v>10</v>
      </c>
      <c r="J218" s="3">
        <v>750</v>
      </c>
      <c r="K218" s="3">
        <v>6750</v>
      </c>
      <c r="L218" s="3" t="s">
        <v>473</v>
      </c>
      <c r="M218" s="2" t="str">
        <f t="shared" si="3"/>
        <v>Nov</v>
      </c>
      <c r="N218" s="3" t="s">
        <v>54</v>
      </c>
      <c r="O218" s="3" t="s">
        <v>33</v>
      </c>
      <c r="P218" s="3" t="s">
        <v>34</v>
      </c>
      <c r="Q218" s="3">
        <v>4.0999999999999996</v>
      </c>
    </row>
    <row r="219" spans="1:17" x14ac:dyDescent="0.25">
      <c r="A219" s="2" t="s">
        <v>474</v>
      </c>
      <c r="B219" s="2" t="s">
        <v>177</v>
      </c>
      <c r="C219" s="2" t="s">
        <v>178</v>
      </c>
      <c r="D219" s="2" t="s">
        <v>38</v>
      </c>
      <c r="E219" s="2" t="s">
        <v>100</v>
      </c>
      <c r="F219" s="2" t="s">
        <v>30</v>
      </c>
      <c r="G219" s="2">
        <v>2</v>
      </c>
      <c r="H219" s="2">
        <v>390</v>
      </c>
      <c r="I219" s="2">
        <v>5</v>
      </c>
      <c r="J219" s="2">
        <v>39</v>
      </c>
      <c r="K219" s="2">
        <v>741</v>
      </c>
      <c r="L219" s="2" t="s">
        <v>475</v>
      </c>
      <c r="M219" s="2" t="str">
        <f t="shared" si="3"/>
        <v>Nov</v>
      </c>
      <c r="N219" s="2" t="s">
        <v>54</v>
      </c>
      <c r="O219" s="2" t="s">
        <v>93</v>
      </c>
      <c r="P219" s="2" t="s">
        <v>34</v>
      </c>
      <c r="Q219" s="2">
        <v>2.7</v>
      </c>
    </row>
    <row r="220" spans="1:17" x14ac:dyDescent="0.25">
      <c r="A220" s="3" t="s">
        <v>476</v>
      </c>
      <c r="B220" s="3" t="s">
        <v>125</v>
      </c>
      <c r="C220" s="3" t="s">
        <v>126</v>
      </c>
      <c r="D220" s="3" t="s">
        <v>38</v>
      </c>
      <c r="E220" s="3" t="s">
        <v>69</v>
      </c>
      <c r="F220" s="3" t="s">
        <v>70</v>
      </c>
      <c r="G220" s="3">
        <v>3</v>
      </c>
      <c r="H220" s="3">
        <v>760</v>
      </c>
      <c r="I220" s="3">
        <v>20</v>
      </c>
      <c r="J220" s="3">
        <v>456</v>
      </c>
      <c r="K220" s="3">
        <v>1824</v>
      </c>
      <c r="L220" s="3" t="s">
        <v>477</v>
      </c>
      <c r="M220" s="2" t="str">
        <f t="shared" si="3"/>
        <v>Jan</v>
      </c>
      <c r="N220" s="3" t="s">
        <v>32</v>
      </c>
      <c r="O220" s="3" t="s">
        <v>64</v>
      </c>
      <c r="P220" s="3" t="s">
        <v>34</v>
      </c>
      <c r="Q220" s="3">
        <v>3.6</v>
      </c>
    </row>
    <row r="221" spans="1:17" x14ac:dyDescent="0.25">
      <c r="A221" s="2" t="s">
        <v>478</v>
      </c>
      <c r="B221" s="2" t="s">
        <v>177</v>
      </c>
      <c r="C221" s="2" t="s">
        <v>178</v>
      </c>
      <c r="D221" s="2" t="s">
        <v>38</v>
      </c>
      <c r="E221" s="2" t="s">
        <v>69</v>
      </c>
      <c r="F221" s="2" t="s">
        <v>70</v>
      </c>
      <c r="G221" s="2">
        <v>4</v>
      </c>
      <c r="H221" s="2">
        <v>1220</v>
      </c>
      <c r="I221" s="2">
        <v>20</v>
      </c>
      <c r="J221" s="2">
        <v>976</v>
      </c>
      <c r="K221" s="2">
        <v>3904</v>
      </c>
      <c r="L221" s="2" t="s">
        <v>479</v>
      </c>
      <c r="M221" s="2" t="str">
        <f t="shared" si="3"/>
        <v>Mar</v>
      </c>
      <c r="N221" s="2" t="s">
        <v>32</v>
      </c>
      <c r="O221" s="2" t="s">
        <v>64</v>
      </c>
      <c r="P221" s="2" t="s">
        <v>34</v>
      </c>
      <c r="Q221" s="2">
        <v>3.3</v>
      </c>
    </row>
    <row r="222" spans="1:17" x14ac:dyDescent="0.25">
      <c r="A222" s="3" t="s">
        <v>480</v>
      </c>
      <c r="B222" s="3" t="s">
        <v>171</v>
      </c>
      <c r="C222" s="3" t="s">
        <v>172</v>
      </c>
      <c r="D222" s="3" t="s">
        <v>60</v>
      </c>
      <c r="E222" s="3" t="s">
        <v>73</v>
      </c>
      <c r="F222" s="3" t="s">
        <v>74</v>
      </c>
      <c r="G222" s="3">
        <v>1</v>
      </c>
      <c r="H222" s="3">
        <v>840</v>
      </c>
      <c r="I222" s="3">
        <v>5</v>
      </c>
      <c r="J222" s="3">
        <v>42</v>
      </c>
      <c r="K222" s="3">
        <v>798</v>
      </c>
      <c r="L222" s="3" t="s">
        <v>481</v>
      </c>
      <c r="M222" s="2" t="str">
        <f t="shared" si="3"/>
        <v>Sep</v>
      </c>
      <c r="N222" s="3" t="s">
        <v>40</v>
      </c>
      <c r="O222" s="3" t="s">
        <v>64</v>
      </c>
      <c r="P222" s="3" t="s">
        <v>34</v>
      </c>
      <c r="Q222" s="3">
        <v>3.9</v>
      </c>
    </row>
    <row r="223" spans="1:17" x14ac:dyDescent="0.25">
      <c r="A223" s="2" t="s">
        <v>482</v>
      </c>
      <c r="B223" s="2" t="s">
        <v>171</v>
      </c>
      <c r="C223" s="2" t="s">
        <v>172</v>
      </c>
      <c r="D223" s="2" t="s">
        <v>60</v>
      </c>
      <c r="E223" s="2" t="s">
        <v>77</v>
      </c>
      <c r="F223" s="2" t="s">
        <v>78</v>
      </c>
      <c r="G223" s="2">
        <v>4</v>
      </c>
      <c r="H223" s="2">
        <v>2860</v>
      </c>
      <c r="I223" s="2">
        <v>20</v>
      </c>
      <c r="J223" s="2">
        <v>2288</v>
      </c>
      <c r="K223" s="2">
        <v>9152</v>
      </c>
      <c r="L223" s="2" t="s">
        <v>211</v>
      </c>
      <c r="M223" s="2" t="str">
        <f t="shared" si="3"/>
        <v>May</v>
      </c>
      <c r="N223" s="2" t="s">
        <v>25</v>
      </c>
      <c r="O223" s="2" t="s">
        <v>93</v>
      </c>
      <c r="P223" s="2" t="s">
        <v>34</v>
      </c>
      <c r="Q223" s="2">
        <v>2.8</v>
      </c>
    </row>
    <row r="224" spans="1:17" x14ac:dyDescent="0.25">
      <c r="A224" s="3" t="s">
        <v>483</v>
      </c>
      <c r="B224" s="3" t="s">
        <v>49</v>
      </c>
      <c r="C224" s="3" t="s">
        <v>50</v>
      </c>
      <c r="D224" s="3" t="s">
        <v>51</v>
      </c>
      <c r="E224" s="3" t="s">
        <v>61</v>
      </c>
      <c r="F224" s="3" t="s">
        <v>62</v>
      </c>
      <c r="G224" s="3">
        <v>2</v>
      </c>
      <c r="H224" s="3">
        <v>570</v>
      </c>
      <c r="I224" s="3">
        <v>15</v>
      </c>
      <c r="J224" s="3">
        <v>171</v>
      </c>
      <c r="K224" s="3">
        <v>969</v>
      </c>
      <c r="L224" s="3" t="s">
        <v>256</v>
      </c>
      <c r="M224" s="2" t="str">
        <f t="shared" si="3"/>
        <v>Feb</v>
      </c>
      <c r="N224" s="3" t="s">
        <v>32</v>
      </c>
      <c r="O224" s="3" t="s">
        <v>55</v>
      </c>
      <c r="P224" s="3" t="s">
        <v>27</v>
      </c>
      <c r="Q224" s="3"/>
    </row>
    <row r="225" spans="1:17" x14ac:dyDescent="0.25">
      <c r="A225" s="2" t="s">
        <v>484</v>
      </c>
      <c r="B225" s="2" t="s">
        <v>58</v>
      </c>
      <c r="C225" s="2" t="s">
        <v>59</v>
      </c>
      <c r="D225" s="2" t="s">
        <v>60</v>
      </c>
      <c r="E225" s="2" t="s">
        <v>52</v>
      </c>
      <c r="F225" s="2" t="s">
        <v>23</v>
      </c>
      <c r="G225" s="2">
        <v>5</v>
      </c>
      <c r="H225" s="2">
        <v>30840</v>
      </c>
      <c r="I225" s="2">
        <v>10</v>
      </c>
      <c r="J225" s="2">
        <v>15420</v>
      </c>
      <c r="K225" s="2">
        <v>138780</v>
      </c>
      <c r="L225" s="2" t="s">
        <v>106</v>
      </c>
      <c r="M225" s="2" t="str">
        <f t="shared" si="3"/>
        <v>Mar</v>
      </c>
      <c r="N225" s="2" t="s">
        <v>32</v>
      </c>
      <c r="O225" s="2" t="s">
        <v>26</v>
      </c>
      <c r="P225" s="2" t="s">
        <v>56</v>
      </c>
      <c r="Q225" s="2"/>
    </row>
    <row r="226" spans="1:17" x14ac:dyDescent="0.25">
      <c r="A226" s="3" t="s">
        <v>485</v>
      </c>
      <c r="B226" s="3" t="s">
        <v>103</v>
      </c>
      <c r="C226" s="3" t="s">
        <v>104</v>
      </c>
      <c r="D226" s="3" t="s">
        <v>105</v>
      </c>
      <c r="E226" s="3" t="s">
        <v>73</v>
      </c>
      <c r="F226" s="3" t="s">
        <v>74</v>
      </c>
      <c r="G226" s="3">
        <v>1</v>
      </c>
      <c r="H226" s="3">
        <v>2470</v>
      </c>
      <c r="I226" s="3">
        <v>5</v>
      </c>
      <c r="J226" s="3">
        <v>123.5</v>
      </c>
      <c r="K226" s="3">
        <v>2346.5</v>
      </c>
      <c r="L226" s="3" t="s">
        <v>450</v>
      </c>
      <c r="M226" s="2" t="str">
        <f t="shared" si="3"/>
        <v>May</v>
      </c>
      <c r="N226" s="3" t="s">
        <v>25</v>
      </c>
      <c r="O226" s="3" t="s">
        <v>93</v>
      </c>
      <c r="P226" s="3" t="s">
        <v>34</v>
      </c>
      <c r="Q226" s="3">
        <v>3.9</v>
      </c>
    </row>
    <row r="227" spans="1:17" x14ac:dyDescent="0.25">
      <c r="A227" s="2" t="s">
        <v>486</v>
      </c>
      <c r="B227" s="2" t="s">
        <v>177</v>
      </c>
      <c r="C227" s="2" t="s">
        <v>178</v>
      </c>
      <c r="D227" s="2" t="s">
        <v>38</v>
      </c>
      <c r="E227" s="2" t="s">
        <v>61</v>
      </c>
      <c r="F227" s="2" t="s">
        <v>62</v>
      </c>
      <c r="G227" s="2">
        <v>5</v>
      </c>
      <c r="H227" s="2">
        <v>340</v>
      </c>
      <c r="I227" s="2">
        <v>0</v>
      </c>
      <c r="J227" s="2">
        <v>0</v>
      </c>
      <c r="K227" s="2">
        <v>1700</v>
      </c>
      <c r="L227" s="2" t="s">
        <v>487</v>
      </c>
      <c r="M227" s="2" t="str">
        <f t="shared" si="3"/>
        <v>Feb</v>
      </c>
      <c r="N227" s="2" t="s">
        <v>32</v>
      </c>
      <c r="O227" s="2" t="s">
        <v>55</v>
      </c>
      <c r="P227" s="2" t="s">
        <v>34</v>
      </c>
      <c r="Q227" s="2">
        <v>4.3</v>
      </c>
    </row>
    <row r="228" spans="1:17" x14ac:dyDescent="0.25">
      <c r="A228" s="3" t="s">
        <v>488</v>
      </c>
      <c r="B228" s="3" t="s">
        <v>98</v>
      </c>
      <c r="C228" s="3" t="s">
        <v>99</v>
      </c>
      <c r="D228" s="3" t="s">
        <v>51</v>
      </c>
      <c r="E228" s="3" t="s">
        <v>100</v>
      </c>
      <c r="F228" s="3" t="s">
        <v>30</v>
      </c>
      <c r="G228" s="3">
        <v>4</v>
      </c>
      <c r="H228" s="3">
        <v>340</v>
      </c>
      <c r="I228" s="3">
        <v>20</v>
      </c>
      <c r="J228" s="3">
        <v>272</v>
      </c>
      <c r="K228" s="3">
        <v>1088</v>
      </c>
      <c r="L228" s="3" t="s">
        <v>376</v>
      </c>
      <c r="M228" s="2" t="str">
        <f t="shared" si="3"/>
        <v>Feb</v>
      </c>
      <c r="N228" s="3" t="s">
        <v>32</v>
      </c>
      <c r="O228" s="3" t="s">
        <v>26</v>
      </c>
      <c r="P228" s="3" t="s">
        <v>223</v>
      </c>
      <c r="Q228" s="3"/>
    </row>
    <row r="229" spans="1:17" x14ac:dyDescent="0.25">
      <c r="A229" s="2" t="s">
        <v>489</v>
      </c>
      <c r="B229" s="2" t="s">
        <v>19</v>
      </c>
      <c r="C229" s="2" t="s">
        <v>20</v>
      </c>
      <c r="D229" s="2" t="s">
        <v>21</v>
      </c>
      <c r="E229" s="2" t="s">
        <v>52</v>
      </c>
      <c r="F229" s="2" t="s">
        <v>23</v>
      </c>
      <c r="G229" s="2">
        <v>4</v>
      </c>
      <c r="H229" s="2">
        <v>29320</v>
      </c>
      <c r="I229" s="2">
        <v>20</v>
      </c>
      <c r="J229" s="2">
        <v>23456</v>
      </c>
      <c r="K229" s="2">
        <v>93824</v>
      </c>
      <c r="L229" s="2" t="s">
        <v>490</v>
      </c>
      <c r="M229" s="2" t="str">
        <f t="shared" si="3"/>
        <v>Jun</v>
      </c>
      <c r="N229" s="2" t="s">
        <v>25</v>
      </c>
      <c r="O229" s="2" t="s">
        <v>26</v>
      </c>
      <c r="P229" s="2" t="s">
        <v>112</v>
      </c>
      <c r="Q229" s="2"/>
    </row>
    <row r="230" spans="1:17" x14ac:dyDescent="0.25">
      <c r="A230" s="3" t="s">
        <v>491</v>
      </c>
      <c r="B230" s="3" t="s">
        <v>125</v>
      </c>
      <c r="C230" s="3" t="s">
        <v>126</v>
      </c>
      <c r="D230" s="3" t="s">
        <v>38</v>
      </c>
      <c r="E230" s="3" t="s">
        <v>29</v>
      </c>
      <c r="F230" s="3" t="s">
        <v>30</v>
      </c>
      <c r="G230" s="3">
        <v>5</v>
      </c>
      <c r="H230" s="3">
        <v>140</v>
      </c>
      <c r="I230" s="3">
        <v>5</v>
      </c>
      <c r="J230" s="3">
        <v>35</v>
      </c>
      <c r="K230" s="3">
        <v>665</v>
      </c>
      <c r="L230" s="3" t="s">
        <v>492</v>
      </c>
      <c r="M230" s="2" t="str">
        <f t="shared" si="3"/>
        <v>Aug</v>
      </c>
      <c r="N230" s="3" t="s">
        <v>40</v>
      </c>
      <c r="O230" s="3" t="s">
        <v>64</v>
      </c>
      <c r="P230" s="3" t="s">
        <v>112</v>
      </c>
      <c r="Q230" s="3"/>
    </row>
    <row r="231" spans="1:17" x14ac:dyDescent="0.25">
      <c r="A231" s="2" t="s">
        <v>493</v>
      </c>
      <c r="B231" s="2" t="s">
        <v>36</v>
      </c>
      <c r="C231" s="2" t="s">
        <v>37</v>
      </c>
      <c r="D231" s="2" t="s">
        <v>38</v>
      </c>
      <c r="E231" s="2" t="s">
        <v>22</v>
      </c>
      <c r="F231" s="2" t="s">
        <v>23</v>
      </c>
      <c r="G231" s="2">
        <v>5</v>
      </c>
      <c r="H231" s="2">
        <v>2920</v>
      </c>
      <c r="I231" s="2">
        <v>5</v>
      </c>
      <c r="J231" s="2">
        <v>730</v>
      </c>
      <c r="K231" s="2">
        <v>13870</v>
      </c>
      <c r="L231" s="2" t="s">
        <v>494</v>
      </c>
      <c r="M231" s="2" t="str">
        <f t="shared" si="3"/>
        <v>Mar</v>
      </c>
      <c r="N231" s="2" t="s">
        <v>32</v>
      </c>
      <c r="O231" s="2" t="s">
        <v>55</v>
      </c>
      <c r="P231" s="2" t="s">
        <v>112</v>
      </c>
      <c r="Q231" s="2"/>
    </row>
    <row r="232" spans="1:17" x14ac:dyDescent="0.25">
      <c r="A232" s="3" t="s">
        <v>495</v>
      </c>
      <c r="B232" s="3" t="s">
        <v>134</v>
      </c>
      <c r="C232" s="3" t="s">
        <v>135</v>
      </c>
      <c r="D232" s="3" t="s">
        <v>68</v>
      </c>
      <c r="E232" s="3" t="s">
        <v>69</v>
      </c>
      <c r="F232" s="3" t="s">
        <v>70</v>
      </c>
      <c r="G232" s="3">
        <v>5</v>
      </c>
      <c r="H232" s="3">
        <v>1370</v>
      </c>
      <c r="I232" s="3">
        <v>0</v>
      </c>
      <c r="J232" s="3">
        <v>0</v>
      </c>
      <c r="K232" s="3">
        <v>6850</v>
      </c>
      <c r="L232" s="3" t="s">
        <v>293</v>
      </c>
      <c r="M232" s="2" t="str">
        <f t="shared" si="3"/>
        <v>May</v>
      </c>
      <c r="N232" s="3" t="s">
        <v>25</v>
      </c>
      <c r="O232" s="3" t="s">
        <v>26</v>
      </c>
      <c r="P232" s="3" t="s">
        <v>27</v>
      </c>
      <c r="Q232" s="3"/>
    </row>
    <row r="233" spans="1:17" x14ac:dyDescent="0.25">
      <c r="A233" s="2" t="s">
        <v>496</v>
      </c>
      <c r="B233" s="2" t="s">
        <v>103</v>
      </c>
      <c r="C233" s="2" t="s">
        <v>104</v>
      </c>
      <c r="D233" s="2" t="s">
        <v>105</v>
      </c>
      <c r="E233" s="2" t="s">
        <v>77</v>
      </c>
      <c r="F233" s="2" t="s">
        <v>78</v>
      </c>
      <c r="G233" s="2">
        <v>2</v>
      </c>
      <c r="H233" s="2">
        <v>4500</v>
      </c>
      <c r="I233" s="2">
        <v>20</v>
      </c>
      <c r="J233" s="2">
        <v>1800</v>
      </c>
      <c r="K233" s="2">
        <v>7200</v>
      </c>
      <c r="L233" s="2" t="s">
        <v>79</v>
      </c>
      <c r="M233" s="2" t="str">
        <f t="shared" si="3"/>
        <v>Sep</v>
      </c>
      <c r="N233" s="2" t="s">
        <v>40</v>
      </c>
      <c r="O233" s="2" t="s">
        <v>33</v>
      </c>
      <c r="P233" s="2" t="s">
        <v>34</v>
      </c>
      <c r="Q233" s="2">
        <v>2.9</v>
      </c>
    </row>
    <row r="234" spans="1:17" x14ac:dyDescent="0.25">
      <c r="A234" s="3" t="s">
        <v>497</v>
      </c>
      <c r="B234" s="3" t="s">
        <v>114</v>
      </c>
      <c r="C234" s="3" t="s">
        <v>115</v>
      </c>
      <c r="D234" s="3" t="s">
        <v>116</v>
      </c>
      <c r="E234" s="3" t="s">
        <v>95</v>
      </c>
      <c r="F234" s="3" t="s">
        <v>23</v>
      </c>
      <c r="G234" s="3">
        <v>2</v>
      </c>
      <c r="H234" s="3">
        <v>11590</v>
      </c>
      <c r="I234" s="3">
        <v>20</v>
      </c>
      <c r="J234" s="3">
        <v>4636</v>
      </c>
      <c r="K234" s="3">
        <v>18544</v>
      </c>
      <c r="L234" s="3" t="s">
        <v>258</v>
      </c>
      <c r="M234" s="2" t="str">
        <f t="shared" si="3"/>
        <v>Jun</v>
      </c>
      <c r="N234" s="3" t="s">
        <v>25</v>
      </c>
      <c r="O234" s="3" t="s">
        <v>64</v>
      </c>
      <c r="P234" s="3" t="s">
        <v>34</v>
      </c>
      <c r="Q234" s="3">
        <v>4.7</v>
      </c>
    </row>
    <row r="235" spans="1:17" x14ac:dyDescent="0.25">
      <c r="A235" s="2" t="s">
        <v>498</v>
      </c>
      <c r="B235" s="2" t="s">
        <v>49</v>
      </c>
      <c r="C235" s="2" t="s">
        <v>50</v>
      </c>
      <c r="D235" s="2" t="s">
        <v>51</v>
      </c>
      <c r="E235" s="2" t="s">
        <v>156</v>
      </c>
      <c r="F235" s="2" t="s">
        <v>23</v>
      </c>
      <c r="G235" s="2">
        <v>5</v>
      </c>
      <c r="H235" s="2">
        <v>20290</v>
      </c>
      <c r="I235" s="2">
        <v>5</v>
      </c>
      <c r="J235" s="2">
        <v>5072.5</v>
      </c>
      <c r="K235" s="2">
        <v>96377.5</v>
      </c>
      <c r="L235" s="2" t="s">
        <v>499</v>
      </c>
      <c r="M235" s="2" t="str">
        <f t="shared" si="3"/>
        <v>Oct</v>
      </c>
      <c r="N235" s="2" t="s">
        <v>54</v>
      </c>
      <c r="O235" s="2" t="s">
        <v>93</v>
      </c>
      <c r="P235" s="2" t="s">
        <v>27</v>
      </c>
      <c r="Q235" s="2"/>
    </row>
    <row r="236" spans="1:17" x14ac:dyDescent="0.25">
      <c r="A236" s="3" t="s">
        <v>500</v>
      </c>
      <c r="B236" s="3" t="s">
        <v>36</v>
      </c>
      <c r="C236" s="3" t="s">
        <v>37</v>
      </c>
      <c r="D236" s="3" t="s">
        <v>38</v>
      </c>
      <c r="E236" s="3" t="s">
        <v>227</v>
      </c>
      <c r="F236" s="3" t="s">
        <v>62</v>
      </c>
      <c r="G236" s="3">
        <v>5</v>
      </c>
      <c r="H236" s="3">
        <v>700</v>
      </c>
      <c r="I236" s="3">
        <v>10</v>
      </c>
      <c r="J236" s="3">
        <v>350</v>
      </c>
      <c r="K236" s="3">
        <v>3150</v>
      </c>
      <c r="L236" s="3" t="s">
        <v>501</v>
      </c>
      <c r="M236" s="2" t="str">
        <f t="shared" si="3"/>
        <v>Sep</v>
      </c>
      <c r="N236" s="3" t="s">
        <v>40</v>
      </c>
      <c r="O236" s="3" t="s">
        <v>26</v>
      </c>
      <c r="P236" s="3" t="s">
        <v>56</v>
      </c>
      <c r="Q236" s="3"/>
    </row>
    <row r="237" spans="1:17" x14ac:dyDescent="0.25">
      <c r="A237" s="2" t="s">
        <v>502</v>
      </c>
      <c r="B237" s="2" t="s">
        <v>19</v>
      </c>
      <c r="C237" s="2" t="s">
        <v>20</v>
      </c>
      <c r="D237" s="2" t="s">
        <v>21</v>
      </c>
      <c r="E237" s="2" t="s">
        <v>151</v>
      </c>
      <c r="F237" s="2" t="s">
        <v>70</v>
      </c>
      <c r="G237" s="2">
        <v>3</v>
      </c>
      <c r="H237" s="2">
        <v>470</v>
      </c>
      <c r="I237" s="2">
        <v>0</v>
      </c>
      <c r="J237" s="2">
        <v>0</v>
      </c>
      <c r="K237" s="2">
        <v>1410</v>
      </c>
      <c r="L237" s="2" t="s">
        <v>106</v>
      </c>
      <c r="M237" s="2" t="str">
        <f t="shared" si="3"/>
        <v>Mar</v>
      </c>
      <c r="N237" s="2" t="s">
        <v>32</v>
      </c>
      <c r="O237" s="2" t="s">
        <v>93</v>
      </c>
      <c r="P237" s="2" t="s">
        <v>34</v>
      </c>
      <c r="Q237" s="2">
        <v>3.7</v>
      </c>
    </row>
    <row r="238" spans="1:17" x14ac:dyDescent="0.25">
      <c r="A238" s="3" t="s">
        <v>503</v>
      </c>
      <c r="B238" s="3" t="s">
        <v>177</v>
      </c>
      <c r="C238" s="3" t="s">
        <v>178</v>
      </c>
      <c r="D238" s="3" t="s">
        <v>38</v>
      </c>
      <c r="E238" s="3" t="s">
        <v>110</v>
      </c>
      <c r="F238" s="3" t="s">
        <v>91</v>
      </c>
      <c r="G238" s="3">
        <v>2</v>
      </c>
      <c r="H238" s="3">
        <v>7190</v>
      </c>
      <c r="I238" s="3">
        <v>10</v>
      </c>
      <c r="J238" s="3">
        <v>1438</v>
      </c>
      <c r="K238" s="3">
        <v>12942</v>
      </c>
      <c r="L238" s="3" t="s">
        <v>490</v>
      </c>
      <c r="M238" s="2" t="str">
        <f t="shared" si="3"/>
        <v>Jun</v>
      </c>
      <c r="N238" s="3" t="s">
        <v>25</v>
      </c>
      <c r="O238" s="3" t="s">
        <v>93</v>
      </c>
      <c r="P238" s="3" t="s">
        <v>34</v>
      </c>
      <c r="Q238" s="3">
        <v>3.4</v>
      </c>
    </row>
    <row r="239" spans="1:17" x14ac:dyDescent="0.25">
      <c r="A239" s="2" t="s">
        <v>504</v>
      </c>
      <c r="B239" s="2" t="s">
        <v>103</v>
      </c>
      <c r="C239" s="2" t="s">
        <v>104</v>
      </c>
      <c r="D239" s="2" t="s">
        <v>105</v>
      </c>
      <c r="E239" s="2" t="s">
        <v>22</v>
      </c>
      <c r="F239" s="2" t="s">
        <v>23</v>
      </c>
      <c r="G239" s="2">
        <v>3</v>
      </c>
      <c r="H239" s="2">
        <v>3450</v>
      </c>
      <c r="I239" s="2">
        <v>0</v>
      </c>
      <c r="J239" s="2">
        <v>0</v>
      </c>
      <c r="K239" s="2">
        <v>10350</v>
      </c>
      <c r="L239" s="2" t="s">
        <v>505</v>
      </c>
      <c r="M239" s="2" t="str">
        <f t="shared" si="3"/>
        <v>May</v>
      </c>
      <c r="N239" s="2" t="s">
        <v>25</v>
      </c>
      <c r="O239" s="2" t="s">
        <v>93</v>
      </c>
      <c r="P239" s="2" t="s">
        <v>34</v>
      </c>
      <c r="Q239" s="2">
        <v>2.7</v>
      </c>
    </row>
    <row r="240" spans="1:17" x14ac:dyDescent="0.25">
      <c r="A240" s="3" t="s">
        <v>506</v>
      </c>
      <c r="B240" s="3" t="s">
        <v>171</v>
      </c>
      <c r="C240" s="3" t="s">
        <v>172</v>
      </c>
      <c r="D240" s="3" t="s">
        <v>60</v>
      </c>
      <c r="E240" s="3" t="s">
        <v>151</v>
      </c>
      <c r="F240" s="3" t="s">
        <v>70</v>
      </c>
      <c r="G240" s="3">
        <v>5</v>
      </c>
      <c r="H240" s="3">
        <v>450</v>
      </c>
      <c r="I240" s="3">
        <v>5</v>
      </c>
      <c r="J240" s="3">
        <v>112.5</v>
      </c>
      <c r="K240" s="3">
        <v>2137.5</v>
      </c>
      <c r="L240" s="3" t="s">
        <v>207</v>
      </c>
      <c r="M240" s="2" t="str">
        <f t="shared" si="3"/>
        <v>Jun</v>
      </c>
      <c r="N240" s="3" t="s">
        <v>25</v>
      </c>
      <c r="O240" s="3" t="s">
        <v>64</v>
      </c>
      <c r="P240" s="3" t="s">
        <v>27</v>
      </c>
      <c r="Q240" s="3"/>
    </row>
    <row r="241" spans="1:17" x14ac:dyDescent="0.25">
      <c r="A241" s="2" t="s">
        <v>507</v>
      </c>
      <c r="B241" s="2" t="s">
        <v>134</v>
      </c>
      <c r="C241" s="2" t="s">
        <v>135</v>
      </c>
      <c r="D241" s="2" t="s">
        <v>68</v>
      </c>
      <c r="E241" s="2" t="s">
        <v>122</v>
      </c>
      <c r="F241" s="2" t="s">
        <v>74</v>
      </c>
      <c r="G241" s="2">
        <v>4</v>
      </c>
      <c r="H241" s="2">
        <v>1990</v>
      </c>
      <c r="I241" s="2">
        <v>15</v>
      </c>
      <c r="J241" s="2">
        <v>1194</v>
      </c>
      <c r="K241" s="2">
        <v>6766</v>
      </c>
      <c r="L241" s="2" t="s">
        <v>481</v>
      </c>
      <c r="M241" s="2" t="str">
        <f t="shared" si="3"/>
        <v>Sep</v>
      </c>
      <c r="N241" s="2" t="s">
        <v>40</v>
      </c>
      <c r="O241" s="2" t="s">
        <v>55</v>
      </c>
      <c r="P241" s="2" t="s">
        <v>34</v>
      </c>
      <c r="Q241" s="2">
        <v>2.7</v>
      </c>
    </row>
    <row r="242" spans="1:17" x14ac:dyDescent="0.25">
      <c r="A242" s="3" t="s">
        <v>508</v>
      </c>
      <c r="B242" s="3" t="s">
        <v>83</v>
      </c>
      <c r="C242" s="3" t="s">
        <v>84</v>
      </c>
      <c r="D242" s="3" t="s">
        <v>85</v>
      </c>
      <c r="E242" s="3" t="s">
        <v>100</v>
      </c>
      <c r="F242" s="3" t="s">
        <v>30</v>
      </c>
      <c r="G242" s="3">
        <v>4</v>
      </c>
      <c r="H242" s="3">
        <v>390</v>
      </c>
      <c r="I242" s="3">
        <v>5</v>
      </c>
      <c r="J242" s="3">
        <v>78</v>
      </c>
      <c r="K242" s="3">
        <v>1482</v>
      </c>
      <c r="L242" s="3" t="s">
        <v>509</v>
      </c>
      <c r="M242" s="2" t="str">
        <f t="shared" si="3"/>
        <v>Oct</v>
      </c>
      <c r="N242" s="3" t="s">
        <v>54</v>
      </c>
      <c r="O242" s="3" t="s">
        <v>55</v>
      </c>
      <c r="P242" s="3" t="s">
        <v>34</v>
      </c>
      <c r="Q242" s="3">
        <v>3.2</v>
      </c>
    </row>
    <row r="243" spans="1:17" x14ac:dyDescent="0.25">
      <c r="A243" s="2" t="s">
        <v>510</v>
      </c>
      <c r="B243" s="2" t="s">
        <v>114</v>
      </c>
      <c r="C243" s="2" t="s">
        <v>115</v>
      </c>
      <c r="D243" s="2" t="s">
        <v>116</v>
      </c>
      <c r="E243" s="2" t="s">
        <v>227</v>
      </c>
      <c r="F243" s="2" t="s">
        <v>62</v>
      </c>
      <c r="G243" s="2">
        <v>3</v>
      </c>
      <c r="H243" s="2">
        <v>880</v>
      </c>
      <c r="I243" s="2">
        <v>0</v>
      </c>
      <c r="J243" s="2">
        <v>0</v>
      </c>
      <c r="K243" s="2">
        <v>2640</v>
      </c>
      <c r="L243" s="2" t="s">
        <v>511</v>
      </c>
      <c r="M243" s="2" t="str">
        <f t="shared" si="3"/>
        <v>Aug</v>
      </c>
      <c r="N243" s="2" t="s">
        <v>40</v>
      </c>
      <c r="O243" s="2" t="s">
        <v>26</v>
      </c>
      <c r="P243" s="2" t="s">
        <v>112</v>
      </c>
      <c r="Q243" s="2"/>
    </row>
    <row r="244" spans="1:17" x14ac:dyDescent="0.25">
      <c r="A244" s="3" t="s">
        <v>512</v>
      </c>
      <c r="B244" s="3" t="s">
        <v>58</v>
      </c>
      <c r="C244" s="3" t="s">
        <v>59</v>
      </c>
      <c r="D244" s="3" t="s">
        <v>60</v>
      </c>
      <c r="E244" s="3" t="s">
        <v>69</v>
      </c>
      <c r="F244" s="3" t="s">
        <v>70</v>
      </c>
      <c r="G244" s="3">
        <v>4</v>
      </c>
      <c r="H244" s="3">
        <v>740</v>
      </c>
      <c r="I244" s="3">
        <v>15</v>
      </c>
      <c r="J244" s="3">
        <v>444</v>
      </c>
      <c r="K244" s="3">
        <v>2516</v>
      </c>
      <c r="L244" s="3" t="s">
        <v>179</v>
      </c>
      <c r="M244" s="2" t="str">
        <f t="shared" si="3"/>
        <v>Jan</v>
      </c>
      <c r="N244" s="3" t="s">
        <v>32</v>
      </c>
      <c r="O244" s="3" t="s">
        <v>64</v>
      </c>
      <c r="P244" s="3" t="s">
        <v>27</v>
      </c>
      <c r="Q244" s="3"/>
    </row>
    <row r="245" spans="1:17" x14ac:dyDescent="0.25">
      <c r="A245" s="2" t="s">
        <v>513</v>
      </c>
      <c r="B245" s="2" t="s">
        <v>177</v>
      </c>
      <c r="C245" s="2" t="s">
        <v>178</v>
      </c>
      <c r="D245" s="2" t="s">
        <v>38</v>
      </c>
      <c r="E245" s="2" t="s">
        <v>29</v>
      </c>
      <c r="F245" s="2" t="s">
        <v>30</v>
      </c>
      <c r="G245" s="2">
        <v>3</v>
      </c>
      <c r="H245" s="2">
        <v>110</v>
      </c>
      <c r="I245" s="2">
        <v>20</v>
      </c>
      <c r="J245" s="2">
        <v>66</v>
      </c>
      <c r="K245" s="2">
        <v>264</v>
      </c>
      <c r="L245" s="2" t="s">
        <v>444</v>
      </c>
      <c r="M245" s="2" t="str">
        <f t="shared" si="3"/>
        <v>Aug</v>
      </c>
      <c r="N245" s="2" t="s">
        <v>40</v>
      </c>
      <c r="O245" s="2" t="s">
        <v>64</v>
      </c>
      <c r="P245" s="2" t="s">
        <v>34</v>
      </c>
      <c r="Q245" s="2">
        <v>5</v>
      </c>
    </row>
    <row r="246" spans="1:17" x14ac:dyDescent="0.25">
      <c r="A246" s="3" t="s">
        <v>514</v>
      </c>
      <c r="B246" s="3" t="s">
        <v>19</v>
      </c>
      <c r="C246" s="3" t="s">
        <v>20</v>
      </c>
      <c r="D246" s="3" t="s">
        <v>21</v>
      </c>
      <c r="E246" s="3" t="s">
        <v>110</v>
      </c>
      <c r="F246" s="3" t="s">
        <v>91</v>
      </c>
      <c r="G246" s="3">
        <v>1</v>
      </c>
      <c r="H246" s="3">
        <v>5900</v>
      </c>
      <c r="I246" s="3">
        <v>0</v>
      </c>
      <c r="J246" s="3">
        <v>0</v>
      </c>
      <c r="K246" s="3">
        <v>5900</v>
      </c>
      <c r="L246" s="3" t="s">
        <v>515</v>
      </c>
      <c r="M246" s="2" t="str">
        <f t="shared" si="3"/>
        <v>Jul</v>
      </c>
      <c r="N246" s="3" t="s">
        <v>40</v>
      </c>
      <c r="O246" s="3" t="s">
        <v>55</v>
      </c>
      <c r="P246" s="3" t="s">
        <v>56</v>
      </c>
      <c r="Q246" s="3"/>
    </row>
    <row r="247" spans="1:17" x14ac:dyDescent="0.25">
      <c r="A247" s="2" t="s">
        <v>516</v>
      </c>
      <c r="B247" s="2" t="s">
        <v>177</v>
      </c>
      <c r="C247" s="2" t="s">
        <v>178</v>
      </c>
      <c r="D247" s="2" t="s">
        <v>38</v>
      </c>
      <c r="E247" s="2" t="s">
        <v>29</v>
      </c>
      <c r="F247" s="2" t="s">
        <v>30</v>
      </c>
      <c r="G247" s="2">
        <v>3</v>
      </c>
      <c r="H247" s="2">
        <v>250</v>
      </c>
      <c r="I247" s="2">
        <v>5</v>
      </c>
      <c r="J247" s="2">
        <v>37.5</v>
      </c>
      <c r="K247" s="2">
        <v>712.5</v>
      </c>
      <c r="L247" s="2" t="s">
        <v>236</v>
      </c>
      <c r="M247" s="2" t="str">
        <f t="shared" si="3"/>
        <v>Nov</v>
      </c>
      <c r="N247" s="2" t="s">
        <v>54</v>
      </c>
      <c r="O247" s="2" t="s">
        <v>64</v>
      </c>
      <c r="P247" s="2" t="s">
        <v>34</v>
      </c>
      <c r="Q247" s="2">
        <v>2.6</v>
      </c>
    </row>
    <row r="248" spans="1:17" x14ac:dyDescent="0.25">
      <c r="A248" s="3" t="s">
        <v>517</v>
      </c>
      <c r="B248" s="3" t="s">
        <v>36</v>
      </c>
      <c r="C248" s="3" t="s">
        <v>37</v>
      </c>
      <c r="D248" s="3" t="s">
        <v>38</v>
      </c>
      <c r="E248" s="3" t="s">
        <v>95</v>
      </c>
      <c r="F248" s="3" t="s">
        <v>23</v>
      </c>
      <c r="G248" s="3">
        <v>3</v>
      </c>
      <c r="H248" s="3">
        <v>13040</v>
      </c>
      <c r="I248" s="3">
        <v>20</v>
      </c>
      <c r="J248" s="3">
        <v>7824</v>
      </c>
      <c r="K248" s="3">
        <v>31296</v>
      </c>
      <c r="L248" s="3" t="s">
        <v>518</v>
      </c>
      <c r="M248" s="2" t="str">
        <f t="shared" si="3"/>
        <v>Aug</v>
      </c>
      <c r="N248" s="3" t="s">
        <v>40</v>
      </c>
      <c r="O248" s="3" t="s">
        <v>26</v>
      </c>
      <c r="P248" s="3" t="s">
        <v>27</v>
      </c>
      <c r="Q248" s="3"/>
    </row>
    <row r="249" spans="1:17" x14ac:dyDescent="0.25">
      <c r="A249" s="2" t="s">
        <v>519</v>
      </c>
      <c r="B249" s="2" t="s">
        <v>103</v>
      </c>
      <c r="C249" s="2" t="s">
        <v>104</v>
      </c>
      <c r="D249" s="2" t="s">
        <v>105</v>
      </c>
      <c r="E249" s="2" t="s">
        <v>95</v>
      </c>
      <c r="F249" s="2" t="s">
        <v>23</v>
      </c>
      <c r="G249" s="2">
        <v>3</v>
      </c>
      <c r="H249" s="2">
        <v>14310</v>
      </c>
      <c r="I249" s="2">
        <v>10</v>
      </c>
      <c r="J249" s="2">
        <v>4293</v>
      </c>
      <c r="K249" s="2">
        <v>38637</v>
      </c>
      <c r="L249" s="2" t="s">
        <v>188</v>
      </c>
      <c r="M249" s="2" t="str">
        <f t="shared" si="3"/>
        <v>Mar</v>
      </c>
      <c r="N249" s="2" t="s">
        <v>32</v>
      </c>
      <c r="O249" s="2" t="s">
        <v>93</v>
      </c>
      <c r="P249" s="2" t="s">
        <v>223</v>
      </c>
      <c r="Q249" s="2"/>
    </row>
    <row r="250" spans="1:17" x14ac:dyDescent="0.25">
      <c r="A250" s="3" t="s">
        <v>520</v>
      </c>
      <c r="B250" s="3" t="s">
        <v>58</v>
      </c>
      <c r="C250" s="3" t="s">
        <v>59</v>
      </c>
      <c r="D250" s="3" t="s">
        <v>60</v>
      </c>
      <c r="E250" s="3" t="s">
        <v>206</v>
      </c>
      <c r="F250" s="3" t="s">
        <v>78</v>
      </c>
      <c r="G250" s="3">
        <v>5</v>
      </c>
      <c r="H250" s="3">
        <v>2680</v>
      </c>
      <c r="I250" s="3">
        <v>20</v>
      </c>
      <c r="J250" s="3">
        <v>2680</v>
      </c>
      <c r="K250" s="3">
        <v>10720</v>
      </c>
      <c r="L250" s="3" t="s">
        <v>521</v>
      </c>
      <c r="M250" s="2" t="str">
        <f t="shared" si="3"/>
        <v>Sep</v>
      </c>
      <c r="N250" s="3" t="s">
        <v>40</v>
      </c>
      <c r="O250" s="3" t="s">
        <v>93</v>
      </c>
      <c r="P250" s="3" t="s">
        <v>27</v>
      </c>
      <c r="Q250" s="3"/>
    </row>
    <row r="251" spans="1:17" x14ac:dyDescent="0.25">
      <c r="A251" s="2" t="s">
        <v>522</v>
      </c>
      <c r="B251" s="2" t="s">
        <v>171</v>
      </c>
      <c r="C251" s="2" t="s">
        <v>172</v>
      </c>
      <c r="D251" s="2" t="s">
        <v>60</v>
      </c>
      <c r="E251" s="2" t="s">
        <v>227</v>
      </c>
      <c r="F251" s="2" t="s">
        <v>62</v>
      </c>
      <c r="G251" s="2">
        <v>1</v>
      </c>
      <c r="H251" s="2">
        <v>760</v>
      </c>
      <c r="I251" s="2">
        <v>0</v>
      </c>
      <c r="J251" s="2">
        <v>0</v>
      </c>
      <c r="K251" s="2">
        <v>760</v>
      </c>
      <c r="L251" s="2" t="s">
        <v>523</v>
      </c>
      <c r="M251" s="2" t="str">
        <f t="shared" si="3"/>
        <v>Aug</v>
      </c>
      <c r="N251" s="2" t="s">
        <v>40</v>
      </c>
      <c r="O251" s="2" t="s">
        <v>64</v>
      </c>
      <c r="P251" s="2" t="s">
        <v>34</v>
      </c>
      <c r="Q251" s="2">
        <v>4.7</v>
      </c>
    </row>
    <row r="252" spans="1:17" x14ac:dyDescent="0.25">
      <c r="A252" s="3" t="s">
        <v>524</v>
      </c>
      <c r="B252" s="3" t="s">
        <v>42</v>
      </c>
      <c r="C252" s="3" t="s">
        <v>43</v>
      </c>
      <c r="D252" s="3" t="s">
        <v>44</v>
      </c>
      <c r="E252" s="3" t="s">
        <v>45</v>
      </c>
      <c r="F252" s="3" t="s">
        <v>23</v>
      </c>
      <c r="G252" s="3">
        <v>5</v>
      </c>
      <c r="H252" s="3">
        <v>49750</v>
      </c>
      <c r="I252" s="3">
        <v>20</v>
      </c>
      <c r="J252" s="3">
        <v>49750</v>
      </c>
      <c r="K252" s="3">
        <v>199000</v>
      </c>
      <c r="L252" s="3" t="s">
        <v>136</v>
      </c>
      <c r="M252" s="2" t="str">
        <f t="shared" si="3"/>
        <v>Oct</v>
      </c>
      <c r="N252" s="3" t="s">
        <v>54</v>
      </c>
      <c r="O252" s="3" t="s">
        <v>26</v>
      </c>
      <c r="P252" s="3" t="s">
        <v>27</v>
      </c>
      <c r="Q252" s="3"/>
    </row>
  </sheetData>
  <mergeCells count="1">
    <mergeCell ref="A1:Q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Dashboard_final</vt:lpstr>
      <vt:lpstr>Analysis_Report</vt:lpstr>
      <vt:lpstr>Orders_Data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Kumar</cp:lastModifiedBy>
  <dcterms:created xsi:type="dcterms:W3CDTF">2026-07-05T10:39:01Z</dcterms:created>
  <dcterms:modified xsi:type="dcterms:W3CDTF">2026-08-17T10:12:04Z</dcterms:modified>
</cp:coreProperties>
</file>